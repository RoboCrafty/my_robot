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fudayl/git/my_robot/"/>
    </mc:Choice>
  </mc:AlternateContent>
  <xr:revisionPtr revIDLastSave="0" documentId="13_ncr:1_{034D7E55-DCC1-C348-BEC5-1142FE0E3B7F}" xr6:coauthVersionLast="47" xr6:coauthVersionMax="47" xr10:uidLastSave="{00000000-0000-0000-0000-000000000000}"/>
  <bookViews>
    <workbookView xWindow="0" yWindow="780" windowWidth="36000" windowHeight="21200" activeTab="1" xr2:uid="{00000000-000D-0000-FFFF-FFFF00000000}"/>
  </bookViews>
  <sheets>
    <sheet name="Export Summary" sheetId="1" r:id="rId1"/>
    <sheet name="Sheet1 (2)"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9" i="3" l="1" a="1"/>
  <c r="L49" i="3"/>
  <c r="AB45" i="3" a="1"/>
  <c r="AB45" i="3"/>
  <c r="L43" i="3" a="1"/>
  <c r="L43" i="3"/>
  <c r="AB39" i="3" a="1"/>
  <c r="AB39" i="3"/>
  <c r="L37" i="3" a="1"/>
  <c r="L37" i="3"/>
  <c r="AB33" i="3" a="1"/>
  <c r="AB33" i="3"/>
  <c r="L31" i="3" a="1"/>
  <c r="L31" i="3"/>
  <c r="AB27" i="3" a="1"/>
  <c r="AB27" i="3"/>
  <c r="L25" i="3" a="1"/>
  <c r="L25" i="3"/>
  <c r="AB21" i="3" a="1"/>
  <c r="AB21" i="3"/>
  <c r="L19" i="3" a="1"/>
  <c r="L19" i="3"/>
  <c r="D18" i="3" a="1"/>
  <c r="D17" i="3" a="1"/>
  <c r="D16" i="3" a="1"/>
  <c r="AB15" i="3" a="1"/>
  <c r="AB15" i="3"/>
  <c r="D15" i="3" a="1"/>
  <c r="D14" i="3" a="1"/>
  <c r="L13" i="3" a="1"/>
  <c r="D13" i="3" a="1"/>
  <c r="L9" i="3" a="1"/>
  <c r="J9" i="3" a="1"/>
  <c r="J9" i="3"/>
  <c r="AA8" i="3" a="1"/>
  <c r="AA8" i="3"/>
  <c r="Z8" i="3" a="1"/>
  <c r="J8" i="3" a="1"/>
  <c r="Z7" i="3" a="1"/>
  <c r="J7" i="3" a="1"/>
  <c r="J7" i="3"/>
  <c r="Z6" i="3" a="1"/>
  <c r="J6" i="3" a="1"/>
  <c r="J6" i="3"/>
  <c r="Z5" i="3" a="1"/>
  <c r="J5" i="3" a="1"/>
  <c r="J5" i="3"/>
  <c r="Z4" i="3" a="1"/>
  <c r="J4" i="3" a="1"/>
  <c r="J4" i="3"/>
  <c r="Z3" i="3" a="1"/>
  <c r="J3" i="3" a="1"/>
  <c r="L49" i="2" a="1"/>
  <c r="L49" i="2"/>
  <c r="AB45" i="2" a="1"/>
  <c r="AB45" i="2"/>
  <c r="L43" i="2" a="1"/>
  <c r="L43" i="2"/>
  <c r="AB39" i="2" a="1"/>
  <c r="AB39" i="2"/>
  <c r="L37" i="2" a="1"/>
  <c r="L37" i="2"/>
  <c r="AB33" i="2" a="1"/>
  <c r="AB33" i="2"/>
  <c r="L31" i="2" a="1"/>
  <c r="L31" i="2"/>
  <c r="AB27" i="2" a="1"/>
  <c r="AB27" i="2"/>
  <c r="L25" i="2" a="1"/>
  <c r="L25" i="2"/>
  <c r="AB21" i="2" a="1"/>
  <c r="AB21" i="2"/>
  <c r="L19" i="2" a="1"/>
  <c r="L19" i="2"/>
  <c r="D18" i="2" a="1"/>
  <c r="D17" i="2" a="1"/>
  <c r="D16" i="2" a="1"/>
  <c r="AB15" i="2" a="1"/>
  <c r="AB15" i="2"/>
  <c r="D15" i="2" a="1"/>
  <c r="D14" i="2" a="1"/>
  <c r="L13" i="2" a="1"/>
  <c r="D13" i="2" a="1"/>
  <c r="L9" i="2" a="1"/>
  <c r="J9" i="2" a="1"/>
  <c r="AA8" i="2" a="1"/>
  <c r="AA8" i="2"/>
  <c r="Z8" i="2" a="1"/>
  <c r="J8" i="2" a="1"/>
  <c r="Z7" i="2" a="1"/>
  <c r="J7" i="2" a="1"/>
  <c r="Z6" i="2" a="1"/>
  <c r="J6" i="2" a="1"/>
  <c r="J6" i="2"/>
  <c r="Z5" i="2" a="1"/>
  <c r="J5" i="2" a="1"/>
  <c r="J5" i="2"/>
  <c r="Z4" i="2" a="1"/>
  <c r="J4" i="2" a="1"/>
  <c r="J4" i="2"/>
  <c r="Z3" i="2" a="1"/>
  <c r="Z3" i="2"/>
  <c r="J3" i="2" a="1"/>
  <c r="J3" i="2"/>
  <c r="D14" i="2" l="1"/>
  <c r="D15" i="2"/>
  <c r="D13" i="2"/>
  <c r="D16" i="2"/>
  <c r="L51" i="3" a="1"/>
  <c r="L51" i="3" s="1"/>
  <c r="K51" i="3" a="1"/>
  <c r="K51" i="3" s="1"/>
  <c r="L50" i="3" a="1"/>
  <c r="L50" i="3" s="1"/>
  <c r="K50" i="3" a="1"/>
  <c r="K50" i="3" s="1"/>
  <c r="Z3" i="3"/>
  <c r="L39" i="3" a="1"/>
  <c r="L39" i="3" s="1"/>
  <c r="K39" i="3" a="1"/>
  <c r="K39" i="3" s="1"/>
  <c r="L38" i="3" a="1"/>
  <c r="L38" i="3" s="1"/>
  <c r="K38" i="3" a="1"/>
  <c r="K38" i="3" s="1"/>
  <c r="D15" i="3"/>
  <c r="Z7" i="3"/>
  <c r="L33" i="3" a="1"/>
  <c r="L33" i="3" s="1"/>
  <c r="K33" i="3" a="1"/>
  <c r="K33" i="3" s="1"/>
  <c r="L32" i="3" a="1"/>
  <c r="L32" i="3" s="1"/>
  <c r="K32" i="3" a="1"/>
  <c r="K32" i="3" s="1"/>
  <c r="L27" i="3" a="1"/>
  <c r="L27" i="3" s="1"/>
  <c r="D18" i="3"/>
  <c r="Z5" i="3"/>
  <c r="K27" i="3" a="1"/>
  <c r="K27" i="3" s="1"/>
  <c r="L26" i="3" a="1"/>
  <c r="L26" i="3" s="1"/>
  <c r="K26" i="3" a="1"/>
  <c r="K26" i="3" s="1"/>
  <c r="D17" i="3"/>
  <c r="L21" i="3" a="1"/>
  <c r="L21" i="3" s="1"/>
  <c r="K21" i="3" a="1"/>
  <c r="K21" i="3" s="1"/>
  <c r="L20" i="3" a="1"/>
  <c r="L20" i="3" s="1"/>
  <c r="K20" i="3" a="1"/>
  <c r="K20" i="3" s="1"/>
  <c r="D14" i="3"/>
  <c r="Z8" i="3"/>
  <c r="J8" i="3"/>
  <c r="D16" i="3"/>
  <c r="L13" i="3"/>
  <c r="D13" i="3"/>
  <c r="Z6" i="3"/>
  <c r="L9" i="3"/>
  <c r="L13" i="2"/>
  <c r="J9" i="2"/>
  <c r="L27" i="2" a="1"/>
  <c r="L27" i="2" s="1"/>
  <c r="L33" i="2" a="1"/>
  <c r="L33" i="2" s="1"/>
  <c r="K33" i="2" a="1"/>
  <c r="K33" i="2" s="1"/>
  <c r="L32" i="2" a="1"/>
  <c r="L32" i="2" s="1"/>
  <c r="K32" i="2" a="1"/>
  <c r="K32" i="2" s="1"/>
  <c r="J8" i="2"/>
  <c r="Z4" i="2"/>
  <c r="Z4" i="3"/>
  <c r="J3" i="3"/>
  <c r="K27" i="2" a="1"/>
  <c r="K27" i="2" s="1"/>
  <c r="L26" i="2" a="1"/>
  <c r="L26" i="2" s="1"/>
  <c r="K26" i="2" a="1"/>
  <c r="K26" i="2" s="1"/>
  <c r="D17" i="2"/>
  <c r="Z5" i="2"/>
  <c r="L21" i="2" a="1"/>
  <c r="L21" i="2" s="1"/>
  <c r="K21" i="2" a="1"/>
  <c r="K21" i="2" s="1"/>
  <c r="L20" i="2" a="1"/>
  <c r="L20" i="2" s="1"/>
  <c r="K20" i="2" a="1"/>
  <c r="K20" i="2" s="1"/>
  <c r="D18" i="2"/>
  <c r="AA15" i="2" a="1"/>
  <c r="AA15" i="2" s="1"/>
  <c r="Z15" i="2" a="1"/>
  <c r="Z15" i="2" s="1"/>
  <c r="L15" i="2" a="1"/>
  <c r="L15" i="2" s="1"/>
  <c r="K15" i="2" a="1"/>
  <c r="K15" i="2" s="1"/>
  <c r="L14" i="2" a="1"/>
  <c r="L14" i="2" s="1"/>
  <c r="K14" i="2" a="1"/>
  <c r="K14" i="2" s="1"/>
  <c r="L9" i="2"/>
  <c r="Z7" i="2"/>
  <c r="J7" i="2"/>
  <c r="Z8" i="2"/>
  <c r="Z6" i="2"/>
  <c r="AB4" i="2" l="1" a="1"/>
  <c r="AB4" i="2" s="1"/>
  <c r="L4" i="2" a="1"/>
  <c r="L4" i="2" s="1"/>
  <c r="L5" i="2" a="1"/>
  <c r="L5" i="2" s="1"/>
  <c r="AB5" i="2" a="1"/>
  <c r="AB5" i="2" s="1"/>
  <c r="L3" i="2" a="1"/>
  <c r="L3" i="2" s="1"/>
  <c r="AB3" i="2" a="1"/>
  <c r="AB3" i="2" s="1"/>
  <c r="L6" i="2" a="1"/>
  <c r="L6" i="2" s="1"/>
  <c r="AB6" i="2" a="1"/>
  <c r="AB6" i="2" s="1"/>
  <c r="AA15" i="3" a="1"/>
  <c r="AA15" i="3" s="1"/>
  <c r="Z15" i="3" a="1"/>
  <c r="Z15" i="3" s="1"/>
  <c r="AB5" i="3" a="1"/>
  <c r="AB5" i="3" s="1"/>
  <c r="L5" i="3" a="1"/>
  <c r="L5" i="3" s="1"/>
  <c r="Z39" i="3" a="1"/>
  <c r="Z39" i="3" s="1"/>
  <c r="AA39" i="3" a="1"/>
  <c r="AA39" i="3" s="1"/>
  <c r="AB8" i="3" a="1"/>
  <c r="AB8" i="3" s="1"/>
  <c r="L8" i="3" a="1"/>
  <c r="L8" i="3" s="1"/>
  <c r="Z27" i="3" a="1"/>
  <c r="Z27" i="3" s="1"/>
  <c r="AA27" i="3" a="1"/>
  <c r="AA27" i="3" s="1"/>
  <c r="L7" i="3" a="1"/>
  <c r="L7" i="3" s="1"/>
  <c r="AB7" i="3" a="1"/>
  <c r="AB7" i="3" s="1"/>
  <c r="AB4" i="3" a="1"/>
  <c r="AB4" i="3" s="1"/>
  <c r="L4" i="3" a="1"/>
  <c r="L4" i="3" s="1"/>
  <c r="Z45" i="3" a="1"/>
  <c r="Z45" i="3" s="1"/>
  <c r="AA45" i="3" a="1"/>
  <c r="AA45" i="3" s="1"/>
  <c r="K44" i="3" a="1"/>
  <c r="K44" i="3" s="1"/>
  <c r="L44" i="3" a="1"/>
  <c r="L44" i="3" s="1"/>
  <c r="K45" i="3" a="1"/>
  <c r="K45" i="3" s="1"/>
  <c r="L45" i="3" a="1"/>
  <c r="L45" i="3" s="1"/>
  <c r="AB6" i="3" a="1"/>
  <c r="AB6" i="3" s="1"/>
  <c r="L6" i="3" a="1"/>
  <c r="L6" i="3" s="1"/>
  <c r="L3" i="3" a="1"/>
  <c r="L3" i="3" s="1"/>
  <c r="AB3" i="3" a="1"/>
  <c r="AB3" i="3" s="1"/>
  <c r="Z33" i="3" a="1"/>
  <c r="Z33" i="3" s="1"/>
  <c r="AA33" i="3" a="1"/>
  <c r="AA33" i="3" s="1"/>
  <c r="I49" i="3" a="1"/>
  <c r="I49" i="3" s="1"/>
  <c r="J49" i="3" a="1"/>
  <c r="J49" i="3" s="1"/>
  <c r="I50" i="3" a="1"/>
  <c r="I50" i="3" s="1"/>
  <c r="J50" i="3" a="1"/>
  <c r="J50" i="3" s="1"/>
  <c r="I51" i="3" a="1"/>
  <c r="I51" i="3" s="1"/>
  <c r="J51" i="3" a="1"/>
  <c r="J51" i="3" s="1"/>
  <c r="K50" i="2" a="1"/>
  <c r="K50" i="2" s="1"/>
  <c r="L50" i="2" a="1"/>
  <c r="L50" i="2" s="1"/>
  <c r="K51" i="2" a="1"/>
  <c r="K51" i="2" s="1"/>
  <c r="L51" i="2" a="1"/>
  <c r="L51" i="2" s="1"/>
  <c r="K44" i="2" a="1"/>
  <c r="K44" i="2" s="1"/>
  <c r="L44" i="2" a="1"/>
  <c r="L44" i="2" s="1"/>
  <c r="K45" i="2" a="1"/>
  <c r="K45" i="2" s="1"/>
  <c r="L45" i="2" a="1"/>
  <c r="L45" i="2" s="1"/>
  <c r="Z21" i="2" a="1"/>
  <c r="Z21" i="2" s="1"/>
  <c r="AA21" i="2" a="1"/>
  <c r="AA21" i="2" s="1"/>
  <c r="Z21" i="3" a="1"/>
  <c r="Z21" i="3" s="1"/>
  <c r="AA21" i="3" a="1"/>
  <c r="AA21" i="3" s="1"/>
  <c r="K14" i="3" a="1"/>
  <c r="K14" i="3" s="1"/>
  <c r="K15" i="3" a="1"/>
  <c r="K15" i="3" s="1"/>
  <c r="L14" i="3" a="1"/>
  <c r="L14" i="3" s="1"/>
  <c r="L15" i="3" a="1"/>
  <c r="L15" i="3" s="1"/>
  <c r="AB7" i="2" a="1"/>
  <c r="AB7" i="2" s="1"/>
  <c r="L7" i="2" a="1"/>
  <c r="L7" i="2" s="1"/>
  <c r="Z27" i="2" a="1"/>
  <c r="Z27" i="2" s="1"/>
  <c r="AA27" i="2" a="1"/>
  <c r="AA27" i="2" s="1"/>
  <c r="AB8" i="2" a="1"/>
  <c r="AB8" i="2" s="1"/>
  <c r="L8" i="2" a="1"/>
  <c r="L8" i="2" s="1"/>
  <c r="J51" i="2" a="1"/>
  <c r="J51" i="2" s="1"/>
  <c r="I49" i="2" a="1"/>
  <c r="I49" i="2" s="1"/>
  <c r="J49" i="2" a="1"/>
  <c r="J49" i="2" s="1"/>
  <c r="I50" i="2" a="1"/>
  <c r="I50" i="2" s="1"/>
  <c r="J50" i="2" a="1"/>
  <c r="J50" i="2" s="1"/>
  <c r="I51" i="2" a="1"/>
  <c r="I51" i="2" s="1"/>
  <c r="Z39" i="2" a="1"/>
  <c r="Z39" i="2" s="1"/>
  <c r="AA39" i="2" a="1"/>
  <c r="AA39" i="2" s="1"/>
  <c r="K38" i="2" a="1"/>
  <c r="K38" i="2" s="1"/>
  <c r="L38" i="2" a="1"/>
  <c r="L38" i="2" s="1"/>
  <c r="K39" i="2" a="1"/>
  <c r="K39" i="2" s="1"/>
  <c r="L39" i="2" a="1"/>
  <c r="L39" i="2" s="1"/>
  <c r="Z45" i="2" a="1"/>
  <c r="Z45" i="2" s="1"/>
  <c r="AA45" i="2" a="1"/>
  <c r="AA45" i="2" s="1"/>
  <c r="Z33" i="2" a="1"/>
  <c r="Z33" i="2" s="1"/>
  <c r="AA33" i="2" a="1"/>
  <c r="AA33" i="2" s="1"/>
  <c r="Y19" i="2" l="1" a="1"/>
  <c r="Y19" i="2" s="1"/>
  <c r="AB19" i="2" a="1"/>
  <c r="AB19" i="2" s="1"/>
  <c r="Y20" i="2" a="1"/>
  <c r="Y20" i="2" s="1"/>
  <c r="AB20" i="2" a="1"/>
  <c r="AB20" i="2" s="1"/>
  <c r="I19" i="2" a="1"/>
  <c r="I19" i="2" s="1"/>
  <c r="J19" i="2" a="1"/>
  <c r="J19" i="2" s="1"/>
  <c r="I20" i="2" a="1"/>
  <c r="I20" i="2" s="1"/>
  <c r="J20" i="2" a="1"/>
  <c r="J20" i="2" s="1"/>
  <c r="I21" i="2" a="1"/>
  <c r="I21" i="2" s="1"/>
  <c r="J21" i="2" a="1"/>
  <c r="J21" i="2" s="1"/>
  <c r="AA20" i="2" a="1"/>
  <c r="AA20" i="2" s="1"/>
  <c r="Z20" i="2" a="1"/>
  <c r="Z20" i="2" s="1"/>
  <c r="AA19" i="2" a="1"/>
  <c r="AA19" i="2" s="1"/>
  <c r="Z19" i="2" a="1"/>
  <c r="Z19" i="2" s="1"/>
  <c r="I25" i="2" a="1"/>
  <c r="I25" i="2" s="1"/>
  <c r="J25" i="2" a="1"/>
  <c r="J25" i="2" s="1"/>
  <c r="I26" i="2" a="1"/>
  <c r="I26" i="2" s="1"/>
  <c r="J26" i="2" a="1"/>
  <c r="J26" i="2" s="1"/>
  <c r="I27" i="2" a="1"/>
  <c r="I27" i="2" s="1"/>
  <c r="J27" i="2" a="1"/>
  <c r="J27" i="2" s="1"/>
  <c r="Y25" i="2" a="1"/>
  <c r="Y25" i="2" s="1"/>
  <c r="AB25" i="2" a="1"/>
  <c r="AB25" i="2" s="1"/>
  <c r="Y26" i="2" a="1"/>
  <c r="Y26" i="2" s="1"/>
  <c r="AB26" i="2" a="1"/>
  <c r="AB26" i="2" s="1"/>
  <c r="Z25" i="2" a="1"/>
  <c r="Z25" i="2" s="1"/>
  <c r="AA26" i="2" a="1"/>
  <c r="AA26" i="2" s="1"/>
  <c r="Z26" i="2" a="1"/>
  <c r="Z26" i="2" s="1"/>
  <c r="AA25" i="2" a="1"/>
  <c r="AA25" i="2" s="1"/>
  <c r="I13" i="2" a="1"/>
  <c r="I13" i="2" s="1"/>
  <c r="J13" i="2" a="1"/>
  <c r="J13" i="2" s="1"/>
  <c r="I14" i="2" a="1"/>
  <c r="I14" i="2" s="1"/>
  <c r="J14" i="2" a="1"/>
  <c r="J14" i="2" s="1"/>
  <c r="I15" i="2" a="1"/>
  <c r="I15" i="2" s="1"/>
  <c r="J15" i="2" a="1"/>
  <c r="J15" i="2" s="1"/>
  <c r="Y13" i="2" a="1"/>
  <c r="Y13" i="2" s="1"/>
  <c r="AA13" i="2" a="1"/>
  <c r="AA13" i="2" s="1"/>
  <c r="AB14" i="2" a="1"/>
  <c r="AB14" i="2" s="1"/>
  <c r="Z13" i="2" a="1"/>
  <c r="Z13" i="2" s="1"/>
  <c r="AB13" i="2" a="1"/>
  <c r="AB13" i="2" s="1"/>
  <c r="Y14" i="2" a="1"/>
  <c r="Y14" i="2" s="1"/>
  <c r="Z14" i="2" a="1"/>
  <c r="Z14" i="2" s="1"/>
  <c r="AA14" i="2" a="1"/>
  <c r="AA14" i="2" s="1"/>
  <c r="I31" i="2" a="1"/>
  <c r="I31" i="2" s="1"/>
  <c r="J31" i="2" a="1"/>
  <c r="J31" i="2" s="1"/>
  <c r="I32" i="2" a="1"/>
  <c r="I32" i="2" s="1"/>
  <c r="J32" i="2" a="1"/>
  <c r="J32" i="2" s="1"/>
  <c r="I33" i="2" a="1"/>
  <c r="I33" i="2" s="1"/>
  <c r="J33" i="2" a="1"/>
  <c r="J33" i="2" s="1"/>
  <c r="Y31" i="2" a="1"/>
  <c r="Y31" i="2" s="1"/>
  <c r="AB31" i="2" a="1"/>
  <c r="AB31" i="2" s="1"/>
  <c r="Y32" i="2" a="1"/>
  <c r="Y32" i="2" s="1"/>
  <c r="AB32" i="2" a="1"/>
  <c r="AB32" i="2" s="1"/>
  <c r="AA32" i="2" a="1"/>
  <c r="AA32" i="2" s="1"/>
  <c r="Z32" i="2" a="1"/>
  <c r="Z32" i="2" s="1"/>
  <c r="AA31" i="2" a="1"/>
  <c r="AA31" i="2" s="1"/>
  <c r="Z31" i="2" a="1"/>
  <c r="Z31" i="2" s="1"/>
  <c r="Y25" i="3" a="1"/>
  <c r="Y25" i="3" s="1"/>
  <c r="Z25" i="3" a="1"/>
  <c r="Z25" i="3" s="1"/>
  <c r="AA25" i="3" a="1"/>
  <c r="AA25" i="3" s="1"/>
  <c r="AB25" i="3" a="1"/>
  <c r="AB25" i="3" s="1"/>
  <c r="Y26" i="3" a="1"/>
  <c r="Y26" i="3" s="1"/>
  <c r="Z26" i="3" a="1"/>
  <c r="Z26" i="3" s="1"/>
  <c r="AA26" i="3" a="1"/>
  <c r="AA26" i="3" s="1"/>
  <c r="AB26" i="3" a="1"/>
  <c r="AB26" i="3" s="1"/>
  <c r="I25" i="3" a="1"/>
  <c r="I25" i="3" s="1"/>
  <c r="J25" i="3" a="1"/>
  <c r="J25" i="3" s="1"/>
  <c r="I26" i="3" a="1"/>
  <c r="I26" i="3" s="1"/>
  <c r="J26" i="3" a="1"/>
  <c r="J26" i="3" s="1"/>
  <c r="I27" i="3" a="1"/>
  <c r="I27" i="3" s="1"/>
  <c r="J27" i="3" a="1"/>
  <c r="J27" i="3" s="1"/>
  <c r="Y43" i="3" a="1"/>
  <c r="Y43" i="3" s="1"/>
  <c r="Z43" i="3" a="1"/>
  <c r="Z43" i="3" s="1"/>
  <c r="AA43" i="3" a="1"/>
  <c r="AA43" i="3" s="1"/>
  <c r="AB43" i="3" a="1"/>
  <c r="AB43" i="3" s="1"/>
  <c r="Y44" i="3" a="1"/>
  <c r="Y44" i="3" s="1"/>
  <c r="Z44" i="3" a="1"/>
  <c r="Z44" i="3" s="1"/>
  <c r="AA44" i="3" a="1"/>
  <c r="AA44" i="3" s="1"/>
  <c r="AB44" i="3" a="1"/>
  <c r="AB44" i="3" s="1"/>
  <c r="I43" i="3" a="1"/>
  <c r="I43" i="3" s="1"/>
  <c r="J43" i="3" a="1"/>
  <c r="J43" i="3" s="1"/>
  <c r="I44" i="3" a="1"/>
  <c r="I44" i="3" s="1"/>
  <c r="J44" i="3" a="1"/>
  <c r="J44" i="3" s="1"/>
  <c r="I45" i="3" a="1"/>
  <c r="I45" i="3" s="1"/>
  <c r="J45" i="3" a="1"/>
  <c r="J45" i="3" s="1"/>
  <c r="I37" i="3" a="1"/>
  <c r="I37" i="3" s="1"/>
  <c r="J37" i="3" a="1"/>
  <c r="J37" i="3" s="1"/>
  <c r="I38" i="3" a="1"/>
  <c r="I38" i="3" s="1"/>
  <c r="J38" i="3" a="1"/>
  <c r="J38" i="3" s="1"/>
  <c r="I39" i="3" a="1"/>
  <c r="I39" i="3" s="1"/>
  <c r="J39" i="3" a="1"/>
  <c r="J39" i="3" s="1"/>
  <c r="Y37" i="3" a="1"/>
  <c r="Y37" i="3" s="1"/>
  <c r="Z37" i="3" a="1"/>
  <c r="Z37" i="3" s="1"/>
  <c r="AA37" i="3" a="1"/>
  <c r="AA37" i="3" s="1"/>
  <c r="AB37" i="3" a="1"/>
  <c r="AB37" i="3" s="1"/>
  <c r="Y38" i="3" a="1"/>
  <c r="Y38" i="3" s="1"/>
  <c r="Z38" i="3" a="1"/>
  <c r="Z38" i="3" s="1"/>
  <c r="AA38" i="3" a="1"/>
  <c r="AA38" i="3" s="1"/>
  <c r="AB38" i="3" a="1"/>
  <c r="AB38" i="3" s="1"/>
  <c r="Y19" i="3" a="1"/>
  <c r="Y19" i="3" s="1"/>
  <c r="Z19" i="3" a="1"/>
  <c r="Z19" i="3" s="1"/>
  <c r="AA19" i="3" a="1"/>
  <c r="AA19" i="3" s="1"/>
  <c r="AB19" i="3" a="1"/>
  <c r="AB19" i="3" s="1"/>
  <c r="Y20" i="3" a="1"/>
  <c r="Y20" i="3" s="1"/>
  <c r="Z20" i="3" a="1"/>
  <c r="Z20" i="3" s="1"/>
  <c r="AA20" i="3" a="1"/>
  <c r="AA20" i="3" s="1"/>
  <c r="AB20" i="3" a="1"/>
  <c r="AB20" i="3" s="1"/>
  <c r="I19" i="3" a="1"/>
  <c r="I19" i="3" s="1"/>
  <c r="J19" i="3" a="1"/>
  <c r="J19" i="3" s="1"/>
  <c r="I20" i="3" a="1"/>
  <c r="I20" i="3" s="1"/>
  <c r="J20" i="3" a="1"/>
  <c r="J20" i="3" s="1"/>
  <c r="I21" i="3" a="1"/>
  <c r="I21" i="3" s="1"/>
  <c r="J21" i="3" a="1"/>
  <c r="J21" i="3" s="1"/>
  <c r="Y31" i="3" a="1"/>
  <c r="Y31" i="3" s="1"/>
  <c r="Z31" i="3" a="1"/>
  <c r="Z31" i="3" s="1"/>
  <c r="AA31" i="3" a="1"/>
  <c r="AA31" i="3" s="1"/>
  <c r="AB31" i="3" a="1"/>
  <c r="AB31" i="3" s="1"/>
  <c r="Y32" i="3" a="1"/>
  <c r="Y32" i="3" s="1"/>
  <c r="Z32" i="3" a="1"/>
  <c r="Z32" i="3" s="1"/>
  <c r="AA32" i="3" a="1"/>
  <c r="AA32" i="3" s="1"/>
  <c r="AB32" i="3" a="1"/>
  <c r="AB32" i="3" s="1"/>
  <c r="I31" i="3" a="1"/>
  <c r="I31" i="3" s="1"/>
  <c r="J31" i="3" a="1"/>
  <c r="J31" i="3" s="1"/>
  <c r="I32" i="3" a="1"/>
  <c r="I32" i="3" s="1"/>
  <c r="J32" i="3" a="1"/>
  <c r="J32" i="3" s="1"/>
  <c r="I33" i="3" a="1"/>
  <c r="I33" i="3" s="1"/>
  <c r="J33" i="3" a="1"/>
  <c r="J33" i="3" s="1"/>
  <c r="J13" i="3" a="1"/>
  <c r="J13" i="3" s="1"/>
  <c r="I14" i="3" a="1"/>
  <c r="I14" i="3" s="1"/>
  <c r="I13" i="3" a="1"/>
  <c r="I13" i="3" s="1"/>
  <c r="J14" i="3" a="1"/>
  <c r="J14" i="3" s="1"/>
  <c r="I15" i="3" a="1"/>
  <c r="I15" i="3" s="1"/>
  <c r="J15" i="3" a="1"/>
  <c r="J15" i="3" s="1"/>
  <c r="Z13" i="3" a="1"/>
  <c r="Z13" i="3" s="1"/>
  <c r="AA14" i="3" a="1"/>
  <c r="AA14" i="3" s="1"/>
  <c r="AA13" i="3" a="1"/>
  <c r="AA13" i="3" s="1"/>
  <c r="AB13" i="3" a="1"/>
  <c r="AB13" i="3" s="1"/>
  <c r="Y14" i="3" a="1"/>
  <c r="Y14" i="3" s="1"/>
  <c r="Y13" i="3" a="1"/>
  <c r="Y13" i="3" s="1"/>
  <c r="Z14" i="3" a="1"/>
  <c r="Z14" i="3" s="1"/>
  <c r="AB14" i="3" a="1"/>
  <c r="AB14" i="3" s="1"/>
  <c r="Y37" i="2" a="1"/>
  <c r="Y37" i="2" s="1"/>
  <c r="Z37" i="2" a="1"/>
  <c r="Z37" i="2" s="1"/>
  <c r="AA37" i="2" a="1"/>
  <c r="AA37" i="2" s="1"/>
  <c r="AB37" i="2" a="1"/>
  <c r="AB37" i="2" s="1"/>
  <c r="Y38" i="2" a="1"/>
  <c r="Y38" i="2" s="1"/>
  <c r="Z38" i="2" a="1"/>
  <c r="Z38" i="2" s="1"/>
  <c r="AA38" i="2" a="1"/>
  <c r="AA38" i="2" s="1"/>
  <c r="AB38" i="2" a="1"/>
  <c r="AB38" i="2" s="1"/>
  <c r="I37" i="2" a="1"/>
  <c r="I37" i="2" s="1"/>
  <c r="J37" i="2" a="1"/>
  <c r="J37" i="2" s="1"/>
  <c r="I38" i="2" a="1"/>
  <c r="I38" i="2" s="1"/>
  <c r="J38" i="2" a="1"/>
  <c r="J38" i="2" s="1"/>
  <c r="I39" i="2" a="1"/>
  <c r="I39" i="2" s="1"/>
  <c r="J39" i="2" a="1"/>
  <c r="J39" i="2" s="1"/>
  <c r="AB44" i="2" a="1"/>
  <c r="AB44" i="2" s="1"/>
  <c r="AB43" i="2" a="1"/>
  <c r="AB43" i="2" s="1"/>
  <c r="Y43" i="2" a="1"/>
  <c r="Y43" i="2" s="1"/>
  <c r="Z43" i="2" a="1"/>
  <c r="Z43" i="2" s="1"/>
  <c r="AA43" i="2" a="1"/>
  <c r="AA43" i="2" s="1"/>
  <c r="Y44" i="2" a="1"/>
  <c r="Y44" i="2" s="1"/>
  <c r="Z44" i="2" a="1"/>
  <c r="Z44" i="2" s="1"/>
  <c r="AA44" i="2" a="1"/>
  <c r="AA44" i="2" s="1"/>
  <c r="I43" i="2" a="1"/>
  <c r="I43" i="2" s="1"/>
  <c r="J43" i="2" a="1"/>
  <c r="J43" i="2" s="1"/>
  <c r="I44" i="2" a="1"/>
  <c r="I44" i="2" s="1"/>
  <c r="J44" i="2" a="1"/>
  <c r="J44" i="2" s="1"/>
  <c r="I45" i="2" a="1"/>
  <c r="I45" i="2" s="1"/>
  <c r="J45" i="2" a="1"/>
  <c r="J45" i="2" s="1"/>
  <c r="AE16" i="2" l="1" a="1"/>
  <c r="O16" i="2" a="1"/>
  <c r="O16" i="2" s="1"/>
  <c r="O16" i="3" a="1"/>
  <c r="AE16" i="3" a="1"/>
  <c r="AE16" i="2" l="1"/>
  <c r="O23" i="2" a="1"/>
  <c r="O16" i="3"/>
  <c r="O23" i="3" a="1"/>
  <c r="AE16" i="3"/>
  <c r="AE23" i="2" l="1" a="1"/>
  <c r="AE23" i="2" s="1"/>
  <c r="O23" i="2"/>
  <c r="O23" i="3"/>
  <c r="AE23" i="3" a="1"/>
  <c r="AE29" i="2" l="1" a="1"/>
  <c r="O29" i="2" a="1"/>
  <c r="O29" i="2" s="1"/>
  <c r="AE29" i="3" a="1"/>
  <c r="AE23" i="3"/>
  <c r="O29" i="3" a="1"/>
  <c r="AE29" i="2" l="1"/>
  <c r="O35" i="2" a="1"/>
  <c r="AE35" i="3" a="1"/>
  <c r="AE29" i="3"/>
  <c r="O29" i="3"/>
  <c r="O35" i="3" a="1"/>
  <c r="AE35" i="2" l="1" a="1"/>
  <c r="O35" i="2"/>
  <c r="AE35" i="3"/>
  <c r="O35" i="3"/>
  <c r="AE35" i="2" l="1"/>
  <c r="O41" i="2" a="1"/>
  <c r="AE41" i="3" a="1"/>
  <c r="O41" i="3" a="1"/>
  <c r="AE41" i="2" l="1" a="1"/>
  <c r="O41" i="2"/>
  <c r="AE41" i="3"/>
  <c r="D23" i="3" a="1"/>
  <c r="D23" i="3" s="1"/>
  <c r="F25" i="3" a="1"/>
  <c r="F25" i="3" s="1"/>
  <c r="D25" i="3" s="1" a="1"/>
  <c r="D25" i="3" s="1"/>
  <c r="D22" i="3" a="1"/>
  <c r="D22" i="3" s="1"/>
  <c r="D21" i="3" a="1"/>
  <c r="D21" i="3" s="1"/>
  <c r="O41" i="3"/>
  <c r="O47" i="3" a="1"/>
  <c r="O47" i="2" l="1" a="1"/>
  <c r="C27" i="2" s="1"/>
  <c r="D21" i="2" a="1"/>
  <c r="D21" i="2" s="1"/>
  <c r="D23" i="2" a="1"/>
  <c r="D23" i="2" s="1"/>
  <c r="AE41" i="2"/>
  <c r="D28" i="2" a="1"/>
  <c r="D28" i="2" s="1"/>
  <c r="D25" i="2" s="1" a="1"/>
  <c r="D25" i="2" s="1"/>
  <c r="D22" i="2" a="1"/>
  <c r="D22" i="2" s="1"/>
  <c r="O47" i="3"/>
  <c r="C21" i="3" a="1"/>
  <c r="C21" i="3" s="1"/>
  <c r="E21" i="3" s="1" a="1"/>
  <c r="E21" i="3" s="1"/>
  <c r="C22" i="3" a="1"/>
  <c r="C22" i="3" s="1"/>
  <c r="E22" i="3" s="1" a="1"/>
  <c r="E22" i="3" s="1"/>
  <c r="C23" i="3" a="1"/>
  <c r="C23" i="3" s="1"/>
  <c r="E23" i="3" s="1" a="1"/>
  <c r="E23" i="3" s="1"/>
  <c r="F24" i="3" a="1"/>
  <c r="F24" i="3" s="1"/>
  <c r="D24" i="3" s="1" a="1"/>
  <c r="D24" i="3" s="1"/>
  <c r="F26" i="3" a="1"/>
  <c r="F26" i="3" s="1"/>
  <c r="D26" i="3" s="1" a="1"/>
  <c r="D26" i="3" s="1"/>
  <c r="O47" i="2" l="1"/>
  <c r="C29" i="2" s="1"/>
  <c r="C23" i="2" a="1"/>
  <c r="C23" i="2" s="1"/>
  <c r="C22" i="2" a="1"/>
  <c r="C22" i="2" s="1"/>
  <c r="C21" i="2" a="1"/>
  <c r="C21" i="2" s="1"/>
  <c r="C28" i="2"/>
  <c r="D29" i="2" a="1"/>
  <c r="D29" i="2" s="1"/>
  <c r="D26" i="2" s="1" a="1"/>
  <c r="D26" i="2" s="1"/>
  <c r="D27" i="2" a="1"/>
  <c r="D27" i="2" s="1"/>
  <c r="D24" i="2" s="1" a="1"/>
  <c r="D24" i="2" s="1"/>
  <c r="C24" i="2" a="1"/>
  <c r="C24" i="2" s="1"/>
  <c r="C25" i="2" l="1" a="1"/>
  <c r="C25" i="2" s="1"/>
  <c r="E23" i="2" a="1"/>
  <c r="E23" i="2" s="1"/>
  <c r="E22" i="2" a="1"/>
  <c r="E22" i="2" s="1"/>
  <c r="E21" i="2" a="1"/>
  <c r="E21" i="2" s="1"/>
  <c r="C26" i="2" a="1"/>
  <c r="C2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<sst xmlns="http://schemas.openxmlformats.org/spreadsheetml/2006/main" count="151" uniqueCount="59">
  <si>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</si>
  <si>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</si>
  <si>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</si>
  <si>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</si>
  <si>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 (2)</t>
  </si>
  <si>
    <t>Table 1</t>
  </si>
  <si>
    <t>Modified DH</t>
  </si>
  <si>
    <t>Modified DH in radians</t>
  </si>
  <si>
    <t>Official standard DH</t>
  </si>
  <si>
    <t>i</t>
  </si>
  <si>
    <t>alpha</t>
  </si>
  <si>
    <t>a</t>
  </si>
  <si>
    <t>q</t>
  </si>
  <si>
    <t>d</t>
  </si>
  <si>
    <t>theta</t>
  </si>
  <si>
    <t>q1-90</t>
  </si>
  <si>
    <t>q2-90</t>
  </si>
  <si>
    <t>q3</t>
  </si>
  <si>
    <t>q4</t>
  </si>
  <si>
    <t>q5</t>
  </si>
  <si>
    <t>q6</t>
  </si>
  <si>
    <t>ee</t>
  </si>
  <si>
    <t>Input</t>
  </si>
  <si>
    <t>Joint angles</t>
  </si>
  <si>
    <t>Deg</t>
  </si>
  <si>
    <t>rad</t>
  </si>
  <si>
    <t>J1</t>
  </si>
  <si>
    <t>T01</t>
  </si>
  <si>
    <t>J2</t>
  </si>
  <si>
    <t>J3</t>
  </si>
  <si>
    <t>J4</t>
  </si>
  <si>
    <t>T02</t>
  </si>
  <si>
    <t>J5</t>
  </si>
  <si>
    <t>J6</t>
  </si>
  <si>
    <t>T12</t>
  </si>
  <si>
    <t>Modified</t>
  </si>
  <si>
    <t>Official</t>
  </si>
  <si>
    <t>Output</t>
  </si>
  <si>
    <t>X</t>
  </si>
  <si>
    <t>Y</t>
  </si>
  <si>
    <t>Z</t>
  </si>
  <si>
    <t>T03</t>
  </si>
  <si>
    <t>Rx</t>
  </si>
  <si>
    <t>Ry</t>
  </si>
  <si>
    <t>T23</t>
  </si>
  <si>
    <t>Rz</t>
  </si>
  <si>
    <t>T04</t>
  </si>
  <si>
    <t>T34</t>
  </si>
  <si>
    <t>T05</t>
  </si>
  <si>
    <t>T45</t>
  </si>
  <si>
    <t>T06</t>
  </si>
  <si>
    <t>T56</t>
  </si>
  <si>
    <t>T0EE</t>
  </si>
  <si>
    <t>T6EE</t>
  </si>
  <si>
    <t>Sheet1</t>
  </si>
  <si>
    <t>q1</t>
  </si>
  <si>
    <t>Rx_rad</t>
  </si>
  <si>
    <t>Ry_rad</t>
  </si>
  <si>
    <t>Rz_rad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</si>
</sst>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2"/>
      <color indexed="8"/>
      <name val="Aptos Narrow"/>
    </font>
    <font>
      <sz val="14"/>
      <color indexed="8"/>
      <name val="Aptos Narrow"/>
    </font>
    <font>
      <u/>
      <sz val="12"/>
      <color indexed="11"/>
      <name val="Aptos Narrow"/>
    </font>
    <font>
      <sz val="12"/>
      <color indexed="8"/>
      <name val="Baloo 2 Regular"/>
    </font>
    <font>
      <b/>
      <sz val="18"/>
      <color indexed="8"/>
      <name val="Aptos Narrow"/>
    </font>
    <font>
      <b/>
      <sz val="14"/>
      <color indexed="8"/>
      <name val="Aptos Narrow"/>
    </font>
    <font>
      <b/>
      <sz val="18"/>
      <color indexed="8"/>
      <name val="Aptos Narrow (Body)"/>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4">
    <border>
      <left/>
      <right/>
      <top/>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12"/>
      </top>
      <bottom style="thin">
        <color indexed="8"/>
      </bottom>
      <diagonal/>
    </border>
    <border>
      <left style="thin">
        <color indexed="8"/>
      </left>
      <right style="thin">
        <color indexed="8"/>
      </right>
      <top style="thin">
        <color indexed="12"/>
      </top>
      <bottom style="thin">
        <color indexed="8"/>
      </bottom>
      <diagonal/>
    </border>
  </borders>
  <cellStyleXfs count="1">
    <xf numFmtId="0" fontId="0" fillId="0" borderId="0" applyNumberFormat="0" applyFill="0" applyBorder="0" applyProtection="0"/>
  </cellStyleXfs>
  <cellXfs count="45">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3" xfId="0" applyBorder="1"/>
    <xf numFmtId="0" fontId="0" fillId="0" borderId="4" xfId="0" applyBorder="1"/>
    <xf numFmtId="49" fontId="3" fillId="0" borderId="2" xfId="0" applyNumberFormat="1" applyFont="1" applyBorder="1"/>
    <xf numFmtId="49" fontId="0" fillId="0" borderId="2" xfId="0" applyNumberFormat="1" applyBorder="1"/>
    <xf numFmtId="0" fontId="3" fillId="0" borderId="2" xfId="0" applyNumberFormat="1" applyFont="1" applyBorder="1"/>
    <xf numFmtId="0" fontId="0" fillId="0" borderId="2" xfId="0" applyNumberFormat="1" applyBorder="1"/>
    <xf numFmtId="0" fontId="0" fillId="0" borderId="2" xfId="0" applyBorder="1"/>
    <xf numFmtId="49" fontId="3" fillId="0" borderId="2" xfId="0" applyNumberFormat="1" applyFont="1" applyBorder="1" applyAlignment="1">
      <alignment horizontal="right"/>
    </xf>
    <xf numFmtId="0" fontId="0" fillId="0" borderId="5" xfId="0" applyBorder="1"/>
    <xf numFmtId="49" fontId="0" fillId="0" borderId="4" xfId="0" applyNumberFormat="1" applyBorder="1"/>
    <xf numFmtId="49" fontId="0" fillId="0" borderId="6" xfId="0" applyNumberFormat="1" applyBorder="1"/>
    <xf numFmtId="0" fontId="0" fillId="0" borderId="6" xfId="0" applyBorder="1"/>
    <xf numFmtId="49" fontId="0" fillId="0" borderId="1" xfId="0" applyNumberFormat="1" applyBorder="1"/>
    <xf numFmtId="164" fontId="0" fillId="5" borderId="2" xfId="0" applyNumberFormat="1" applyFill="1" applyBorder="1" applyAlignment="1">
      <alignment horizontal="center"/>
    </xf>
    <xf numFmtId="0" fontId="0" fillId="0" borderId="3" xfId="0" applyNumberFormat="1" applyBorder="1"/>
    <xf numFmtId="0" fontId="0" fillId="0" borderId="7" xfId="0" applyBorder="1"/>
    <xf numFmtId="0" fontId="0" fillId="4" borderId="9" xfId="0" applyFill="1" applyBorder="1" applyAlignment="1">
      <alignment vertical="center"/>
    </xf>
    <xf numFmtId="0" fontId="0" fillId="0" borderId="10" xfId="0" applyBorder="1"/>
    <xf numFmtId="0" fontId="0" fillId="4" borderId="11" xfId="0" applyFill="1" applyBorder="1" applyAlignment="1">
      <alignment vertical="center"/>
    </xf>
    <xf numFmtId="0" fontId="0" fillId="0" borderId="12" xfId="0" applyBorder="1"/>
    <xf numFmtId="0" fontId="6" fillId="4" borderId="4" xfId="0" applyFont="1" applyFill="1" applyBorder="1" applyAlignment="1">
      <alignment vertical="center"/>
    </xf>
    <xf numFmtId="0" fontId="0" fillId="0" borderId="4" xfId="0" applyNumberFormat="1" applyBorder="1"/>
    <xf numFmtId="0" fontId="0" fillId="4" borderId="4" xfId="0" applyFill="1" applyBorder="1" applyAlignment="1">
      <alignment vertical="center"/>
    </xf>
    <xf numFmtId="0" fontId="0" fillId="0" borderId="0" xfId="0" applyAlignment="1">
      <alignment horizontal="left" wrapText="1"/>
    </xf>
    <xf numFmtId="0" fontId="0" fillId="0" borderId="0" xfId="0"/>
    <xf numFmtId="49" fontId="5" fillId="4" borderId="8"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13" xfId="0" applyFont="1" applyFill="1" applyBorder="1" applyAlignment="1">
      <alignment horizontal="center" vertical="center"/>
    </xf>
    <xf numFmtId="49"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0" fillId="0" borderId="4" xfId="0" applyBorder="1" applyAlignment="1">
      <alignment horizontal="center"/>
    </xf>
    <xf numFmtId="0" fontId="5" fillId="4" borderId="4" xfId="0" applyFont="1" applyFill="1" applyBorder="1" applyAlignment="1">
      <alignment horizontal="center" vertical="center"/>
    </xf>
    <xf numFmtId="49" fontId="6" fillId="4" borderId="4" xfId="0" applyNumberFormat="1" applyFont="1" applyFill="1" applyBorder="1" applyAlignment="1">
      <alignment horizontal="center" vertical="center"/>
    </xf>
    <xf numFmtId="0" fontId="0" fillId="4" borderId="4" xfId="0" applyFill="1" applyBorder="1" applyAlignment="1">
      <alignment horizontal="center" vertical="center"/>
    </xf>
    <xf numFmtId="49" fontId="0" fillId="0" borderId="2" xfId="0" applyNumberFormat="1" applyBorder="1" applyAlignment="1">
      <alignment horizontal="center"/>
    </xf>
    <xf numFmtId="0" fontId="0" fillId="0" borderId="2" xfId="0" applyBorder="1" applyAlignment="1">
      <alignment horizontal="center"/>
    </xf>
    <xf numFmtId="49" fontId="4" fillId="4" borderId="4" xfId="0" applyNumberFormat="1" applyFont="1" applyFill="1" applyBorder="1" applyAlignment="1">
      <alignment horizontal="center" vertical="center"/>
    </xf>
    <xf numFmtId="0" fontId="4" fillId="4" borderId="4"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74A67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358328</xdr:colOff>
      <xdr:row>16</xdr:row>
      <xdr:rowOff>3290</xdr:rowOff>
    </xdr:to>
    <xdr:pic>
      <xdr:nvPicPr>
        <xdr:cNvPr id="2" name="Picture 1" descr="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0662193" y="0"/>
          <a:ext cx="8075536" cy="3762491"/>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368461</xdr:colOff>
      <xdr:row>16</xdr:row>
      <xdr:rowOff>29633</xdr:rowOff>
    </xdr:to>
    <xdr:pic>
      <xdr:nvPicPr>
        <xdr:cNvPr id="4" name="Picture 2" descr="Picture 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0662193" y="0"/>
          <a:ext cx="8085669" cy="378883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cols>
    <col min="1" max="1" width="2" customWidth="1"/>
    <col min="2" max="4" width="28" customWidth="1"/>
  </cols>
  <sheetData>
    <row r="3" spans="2:4" ht="0" hidden="1" customHeight="1">
      <c r="B3" s="30" t="s">
        <v>0</v>
      </c>
      <c r="C3" s="31"/>
      <c r="D3" s="31"/>
    </row>
    <row r="7" spans="2:4" ht="19">
      <c r="B7" s="1" t="s">
        <v>1</v>
      </c>
      <c r="C7" s="1" t="s">
        <v>2</v>
      </c>
      <c r="D7" s="1" t="s">
        <v>3</v>
      </c>
    </row>
    <row r="9" spans="2:4" ht="16">
      <c r="B9" s="2" t="s">
        <v>4</v>
      </c>
      <c r="C9" s="2"/>
      <c r="D9" s="2"/>
    </row>
    <row r="10" spans="2:4" ht="16">
      <c r="B10" s="3"/>
      <c r="C10" s="3" t="s">
        <v>5</v>
      </c>
      <c r="D10" s="4" t="s">
        <v>4</v>
      </c>
    </row>
    <row r="11" spans="2:4" ht="16">
      <c r="B11" s="2" t="s">
        <v>54</v>
      </c>
      <c r="C11" s="2"/>
      <c r="D11" s="2"/>
    </row>
    <row r="12" spans="2:4" ht="16">
      <c r="B12" s="3"/>
      <c r="C12" s="3" t="s">
        <v>5</v>
      </c>
      <c r="D12" s="4" t="s">
        <v>54</v>
      </c>
    </row>
  </sheetData>
  <mergeCells count="1">
    <mergeCell ref="B3:D3"/>
  </mergeCells>
  <hyperlinks>
    <hyperlink ref="D10" location="'Sheet1 (2)'!R1C1" display="Sheet1 (2)" xr:uid="{00000000-0004-0000-0000-000000000000}"/>
    <hyperlink ref="D12" location="'Sheet1'!R1C1" display="Sheet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4"/>
  <sheetViews>
    <sheetView showGridLines="0" tabSelected="1" workbookViewId="0">
      <selection activeCell="C18" sqref="C18"/>
    </sheetView>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41" t="s">
        <v>6</v>
      </c>
      <c r="C1" s="42"/>
      <c r="D1" s="42"/>
      <c r="E1" s="42"/>
      <c r="F1" s="42"/>
      <c r="G1" s="7"/>
      <c r="H1" s="6"/>
      <c r="I1" s="41" t="s">
        <v>7</v>
      </c>
      <c r="J1" s="42"/>
      <c r="K1" s="42"/>
      <c r="L1" s="42"/>
      <c r="M1" s="42"/>
      <c r="N1" s="7"/>
      <c r="O1" s="8"/>
      <c r="P1" s="8"/>
      <c r="Q1" s="8"/>
      <c r="R1" s="8"/>
      <c r="S1" s="8"/>
      <c r="T1" s="8"/>
      <c r="U1" s="8"/>
      <c r="V1" s="8"/>
      <c r="W1" s="8"/>
      <c r="X1" s="6"/>
      <c r="Y1" s="41" t="s">
        <v>8</v>
      </c>
      <c r="Z1" s="42"/>
      <c r="AA1" s="42"/>
      <c r="AB1" s="42"/>
      <c r="AC1" s="42"/>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-90</v>
      </c>
      <c r="D3" s="11">
        <v>0</v>
      </c>
      <c r="E3" s="9" t="s">
        <v>15</v>
      </c>
      <c r="F3" s="11">
        <v>110.5</v>
      </c>
      <c r="G3" s="7"/>
      <c r="H3" s="6"/>
      <c r="I3" s="11">
        <v>1</v>
      </c>
      <c r="J3" s="11" cm="1">
        <f t="array" ref="J3">RADIANS(C3)</f>
        <v>-1.5707963267948966</v>
      </c>
      <c r="K3" s="11">
        <v>0</v>
      </c>
      <c r="L3" s="11" cm="1">
        <f t="array" ref="L3">D13-PI()/2</f>
        <v>-1.5707963267948966</v>
      </c>
      <c r="M3" s="11">
        <v>110.5</v>
      </c>
      <c r="N3" s="7"/>
      <c r="O3" s="8"/>
      <c r="P3" s="8"/>
      <c r="Q3" s="8"/>
      <c r="R3" s="8"/>
      <c r="S3" s="8"/>
      <c r="T3" s="8"/>
      <c r="U3" s="8"/>
      <c r="V3" s="8"/>
      <c r="W3" s="8"/>
      <c r="X3" s="6"/>
      <c r="Y3" s="12">
        <v>1</v>
      </c>
      <c r="Z3" s="12" cm="1">
        <f t="array" ref="Z3">-PI()/2</f>
        <v>-1.5707963267948966</v>
      </c>
      <c r="AA3" s="12">
        <v>23.42</v>
      </c>
      <c r="AB3" s="12" cm="1">
        <f t="array" ref="AB3">D13</f>
        <v>0</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-1.3962630748005671</v>
      </c>
      <c r="M4" s="11">
        <v>0</v>
      </c>
      <c r="N4" s="7"/>
      <c r="O4" s="8"/>
      <c r="P4" s="8"/>
      <c r="Q4" s="8"/>
      <c r="R4" s="8"/>
      <c r="S4" s="8"/>
      <c r="T4" s="8"/>
      <c r="U4" s="8"/>
      <c r="V4" s="8"/>
      <c r="W4" s="8"/>
      <c r="X4" s="6"/>
      <c r="Y4" s="12">
        <v>2</v>
      </c>
      <c r="Z4" s="12" cm="1">
        <f t="array" ref="Z4">PI()</f>
        <v>3.1415926535897931</v>
      </c>
      <c r="AA4" s="12">
        <v>180</v>
      </c>
      <c r="AB4" s="12" cm="1">
        <f t="array" ref="AB4">D14-1.570796</f>
        <v>-1.3962630748005671</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0.31415926535897931</v>
      </c>
      <c r="M5" s="11">
        <v>0</v>
      </c>
      <c r="N5" s="7"/>
      <c r="O5" s="8"/>
      <c r="P5" s="8"/>
      <c r="Q5" s="8"/>
      <c r="R5" s="8"/>
      <c r="S5" s="8"/>
      <c r="T5" s="8"/>
      <c r="U5" s="8"/>
      <c r="V5" s="8"/>
      <c r="W5" s="8"/>
      <c r="X5" s="6"/>
      <c r="Y5" s="12">
        <v>3</v>
      </c>
      <c r="Z5" s="12" cm="1">
        <f t="array" ref="Z5">PI()/2</f>
        <v>1.5707963267948966</v>
      </c>
      <c r="AA5" s="12">
        <v>-43.5</v>
      </c>
      <c r="AB5" s="12" cm="1">
        <f t="array" ref="AB5">D15+3.1415</f>
        <v>3.4556592653589795</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0</v>
      </c>
      <c r="M6" s="11">
        <v>176.35</v>
      </c>
      <c r="N6" s="7"/>
      <c r="O6" s="8"/>
      <c r="P6" s="8"/>
      <c r="Q6" s="8"/>
      <c r="R6" s="8"/>
      <c r="S6" s="8"/>
      <c r="T6" s="8"/>
      <c r="U6" s="8"/>
      <c r="V6" s="8"/>
      <c r="W6" s="8"/>
      <c r="X6" s="6"/>
      <c r="Y6" s="12">
        <v>4</v>
      </c>
      <c r="Z6" s="12" cm="1">
        <f t="array" ref="Z6">-PI()/2</f>
        <v>-1.5707963267948966</v>
      </c>
      <c r="AA6" s="13"/>
      <c r="AB6" s="12" cm="1">
        <f t="array" ref="AB6">D16</f>
        <v>0</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-0.50143309409797088</v>
      </c>
      <c r="M7" s="11">
        <v>0</v>
      </c>
      <c r="N7" s="7"/>
      <c r="O7" s="8"/>
      <c r="P7" s="8"/>
      <c r="Q7" s="8"/>
      <c r="R7" s="8"/>
      <c r="S7" s="8"/>
      <c r="T7" s="8"/>
      <c r="U7" s="8"/>
      <c r="V7" s="8"/>
      <c r="W7" s="8"/>
      <c r="X7" s="6"/>
      <c r="Y7" s="12">
        <v>5</v>
      </c>
      <c r="Z7" s="12" cm="1">
        <f t="array" ref="Z7">PI()/2</f>
        <v>1.5707963267948966</v>
      </c>
      <c r="AA7" s="12">
        <v>0</v>
      </c>
      <c r="AB7" s="12" cm="1">
        <f t="array" ref="AB7">D17</f>
        <v>-0.50143309409797088</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0</v>
      </c>
      <c r="M8" s="11">
        <v>0</v>
      </c>
      <c r="N8" s="7"/>
      <c r="O8" s="8"/>
      <c r="P8" s="8"/>
      <c r="Q8" s="8"/>
      <c r="R8" s="8"/>
      <c r="S8" s="8"/>
      <c r="T8" s="8"/>
      <c r="U8" s="8"/>
      <c r="V8" s="8"/>
      <c r="W8" s="8"/>
      <c r="X8" s="6"/>
      <c r="Y8" s="12">
        <v>6</v>
      </c>
      <c r="Z8" s="12" cm="1">
        <f t="array" ref="Z8">PI()</f>
        <v>3.1415926535897931</v>
      </c>
      <c r="AA8" s="12" cm="1">
        <f t="array" ref="AA8">-A7</f>
        <v>0</v>
      </c>
      <c r="AB8" s="12" cm="1">
        <f t="array" ref="AB8">D18+3.1415</f>
        <v>3.1415000000000002</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100</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43"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44"/>
      <c r="B13" s="19" t="s">
        <v>26</v>
      </c>
      <c r="C13" s="20">
        <v>0</v>
      </c>
      <c r="D13" s="21" cm="1">
        <f t="array" ref="D13">RADIANS(C13)</f>
        <v>0</v>
      </c>
      <c r="E13" s="8"/>
      <c r="F13" s="8"/>
      <c r="G13" s="6"/>
      <c r="H13" s="35" t="s">
        <v>27</v>
      </c>
      <c r="I13" s="12" cm="1">
        <f t="array" ref="I13">COS(L3)</f>
        <v>6.123233995736766E-17</v>
      </c>
      <c r="J13" s="12" cm="1">
        <f t="array" ref="J13">-SIN(L3)</f>
        <v>1</v>
      </c>
      <c r="K13" s="12">
        <v>0</v>
      </c>
      <c r="L13" s="12" cm="1">
        <f t="array" ref="L13">K3</f>
        <v>0</v>
      </c>
      <c r="M13" s="7"/>
      <c r="N13" s="8"/>
      <c r="O13" s="8"/>
      <c r="P13" s="8"/>
      <c r="Q13" s="8"/>
      <c r="R13" s="8"/>
      <c r="S13" s="8"/>
      <c r="T13" s="8"/>
      <c r="U13" s="8"/>
      <c r="V13" s="8"/>
      <c r="W13" s="6"/>
      <c r="X13" s="35" t="s">
        <v>27</v>
      </c>
      <c r="Y13" s="12" cm="1">
        <f t="array" ref="Y13">COS(AB3)</f>
        <v>1</v>
      </c>
      <c r="Z13" s="12" cm="1">
        <f t="array" ref="Z13">-SIN(AB3)*COS(Z3)</f>
        <v>0</v>
      </c>
      <c r="AA13" s="12" cm="1">
        <f t="array" ref="AA13">SIN(AB3)*SIN(Z3)</f>
        <v>0</v>
      </c>
      <c r="AB13" s="12" cm="1">
        <f t="array" ref="AB13">AA3*COS(AB3)</f>
        <v>23.42</v>
      </c>
      <c r="AC13" s="7"/>
      <c r="AD13" s="8"/>
      <c r="AE13" s="8"/>
      <c r="AF13" s="8"/>
      <c r="AG13" s="8"/>
      <c r="AH13" s="8"/>
      <c r="AI13" s="8"/>
      <c r="AJ13" s="8"/>
      <c r="AK13" s="8"/>
      <c r="AL13" s="8"/>
      <c r="AM13" s="8"/>
      <c r="AN13" s="8"/>
      <c r="AO13" s="8"/>
      <c r="AP13" s="8"/>
      <c r="AQ13" s="8"/>
      <c r="AR13" s="8"/>
      <c r="AS13" s="8"/>
    </row>
    <row r="14" spans="1:45" ht="16" customHeight="1">
      <c r="A14" s="44"/>
      <c r="B14" s="19" t="s">
        <v>28</v>
      </c>
      <c r="C14" s="20">
        <v>10</v>
      </c>
      <c r="D14" s="21" cm="1">
        <f t="array" ref="D14">RADIANS(C14)</f>
        <v>0.17453292519943295</v>
      </c>
      <c r="E14" s="8"/>
      <c r="F14" s="8"/>
      <c r="G14" s="6"/>
      <c r="H14" s="36"/>
      <c r="I14" s="12" cm="1">
        <f t="array" ref="I14">SIN(L3)*COS(J3)</f>
        <v>-6.123233995736766E-17</v>
      </c>
      <c r="J14" s="12" cm="1">
        <f t="array" ref="J14">COS(L3)*COS(J3)</f>
        <v>3.749399456654644E-33</v>
      </c>
      <c r="K14" s="12" cm="1">
        <f t="array" ref="K14">-SIN(J3)</f>
        <v>1</v>
      </c>
      <c r="L14" s="12" cm="1">
        <f t="array" ref="L14">-M3*SIN(J3)</f>
        <v>110.5</v>
      </c>
      <c r="M14" s="7"/>
      <c r="N14" s="8"/>
      <c r="O14" s="8"/>
      <c r="P14" s="8"/>
      <c r="Q14" s="8"/>
      <c r="R14" s="8"/>
      <c r="S14" s="8"/>
      <c r="T14" s="8"/>
      <c r="U14" s="8"/>
      <c r="V14" s="8"/>
      <c r="W14" s="6"/>
      <c r="X14" s="36"/>
      <c r="Y14" s="12" cm="1">
        <f t="array" ref="Y14">SIN(AB3)</f>
        <v>0</v>
      </c>
      <c r="Z14" s="12" cm="1">
        <f t="array" ref="Z14">COS(AB3)*COS(Z3)</f>
        <v>6.123233995736766E-17</v>
      </c>
      <c r="AA14" s="12" cm="1">
        <f t="array" ref="AA14">-COS(AB3)*SIN(Z3)</f>
        <v>1</v>
      </c>
      <c r="AB14" s="12" cm="1">
        <f t="array" ref="AB14">AA3*SIN(AB3)</f>
        <v>0</v>
      </c>
      <c r="AC14" s="7"/>
      <c r="AD14" s="8"/>
      <c r="AE14" s="8"/>
      <c r="AF14" s="8"/>
      <c r="AG14" s="8"/>
      <c r="AH14" s="8"/>
      <c r="AI14" s="8"/>
      <c r="AJ14" s="8"/>
      <c r="AK14" s="8"/>
      <c r="AL14" s="8"/>
      <c r="AM14" s="8"/>
      <c r="AN14" s="8"/>
      <c r="AO14" s="8"/>
      <c r="AP14" s="8"/>
      <c r="AQ14" s="8"/>
      <c r="AR14" s="8"/>
      <c r="AS14" s="8"/>
    </row>
    <row r="15" spans="1:45" ht="16" customHeight="1">
      <c r="A15" s="44"/>
      <c r="B15" s="19" t="s">
        <v>29</v>
      </c>
      <c r="C15" s="20">
        <v>18</v>
      </c>
      <c r="D15" s="21" cm="1">
        <f t="array" ref="D15">RADIANS(C15)</f>
        <v>0.31415926535897931</v>
      </c>
      <c r="E15" s="8"/>
      <c r="F15" s="8"/>
      <c r="G15" s="6"/>
      <c r="H15" s="36"/>
      <c r="I15" s="12" cm="1">
        <f t="array" ref="I15">SIN(L3)*SIN(J3)</f>
        <v>1</v>
      </c>
      <c r="J15" s="12" cm="1">
        <f t="array" ref="J15">COS(L3)*SIN(J3)</f>
        <v>-6.123233995736766E-17</v>
      </c>
      <c r="K15" s="12" cm="1">
        <f t="array" ref="K15">COS(J3)</f>
        <v>6.123233995736766E-17</v>
      </c>
      <c r="L15" s="12" cm="1">
        <f t="array" ref="L15">M3*COS(J3)</f>
        <v>6.7661735652891264E-15</v>
      </c>
      <c r="M15" s="7"/>
      <c r="N15" s="18"/>
      <c r="O15" s="18"/>
      <c r="P15" s="18"/>
      <c r="Q15" s="18"/>
      <c r="R15" s="18"/>
      <c r="S15" s="8"/>
      <c r="T15" s="8"/>
      <c r="U15" s="8"/>
      <c r="V15" s="8"/>
      <c r="W15" s="6"/>
      <c r="X15" s="36"/>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44"/>
      <c r="B16" s="19" t="s">
        <v>30</v>
      </c>
      <c r="C16" s="20">
        <v>0</v>
      </c>
      <c r="D16" s="21" cm="1">
        <f t="array" ref="D16">RADIANS(C16)</f>
        <v>0</v>
      </c>
      <c r="E16" s="8"/>
      <c r="F16" s="8"/>
      <c r="G16" s="6"/>
      <c r="H16" s="36"/>
      <c r="I16" s="12">
        <v>0</v>
      </c>
      <c r="J16" s="12">
        <v>0</v>
      </c>
      <c r="K16" s="12">
        <v>0</v>
      </c>
      <c r="L16" s="12">
        <v>1</v>
      </c>
      <c r="M16" s="22"/>
      <c r="N16" s="32" t="s">
        <v>31</v>
      </c>
      <c r="O16" s="12" cm="1">
        <f t="array" ref="O16:R19">MMULT(I13:L16,I19:L22)</f>
        <v>-4.9669175696028064E-17</v>
      </c>
      <c r="P16" s="12">
        <v>7.0934983604610671E-17</v>
      </c>
      <c r="Q16" s="12">
        <v>1</v>
      </c>
      <c r="R16" s="12">
        <v>1.4340614018015507E-15</v>
      </c>
      <c r="S16" s="7"/>
      <c r="T16" s="8"/>
      <c r="U16" s="8"/>
      <c r="V16" s="8"/>
      <c r="W16" s="6"/>
      <c r="X16" s="36"/>
      <c r="Y16" s="12">
        <v>0</v>
      </c>
      <c r="Z16" s="12">
        <v>0</v>
      </c>
      <c r="AA16" s="12">
        <v>0</v>
      </c>
      <c r="AB16" s="12">
        <v>1</v>
      </c>
      <c r="AC16" s="22"/>
      <c r="AD16" s="32" t="s">
        <v>31</v>
      </c>
      <c r="AE16" s="12" cm="1">
        <f t="array" ref="AE16:AH19">MMULT(Y13:AB16,Y19:AB22)</f>
        <v>0.17364849949706884</v>
      </c>
      <c r="AF16" s="12">
        <v>-0.98480769626481723</v>
      </c>
      <c r="AG16" s="12">
        <v>-1.2060415930063873E-16</v>
      </c>
      <c r="AH16" s="12">
        <v>54.676729909472392</v>
      </c>
      <c r="AI16" s="7"/>
      <c r="AJ16" s="8"/>
      <c r="AK16" s="8"/>
      <c r="AL16" s="8"/>
      <c r="AM16" s="8"/>
      <c r="AN16" s="8"/>
      <c r="AO16" s="8"/>
      <c r="AP16" s="8"/>
      <c r="AQ16" s="8"/>
      <c r="AR16" s="8"/>
      <c r="AS16" s="8"/>
    </row>
    <row r="17" spans="1:45" ht="16" customHeight="1">
      <c r="A17" s="44"/>
      <c r="B17" s="19" t="s">
        <v>32</v>
      </c>
      <c r="C17" s="20">
        <v>-28.73</v>
      </c>
      <c r="D17" s="21" cm="1">
        <f t="array" ref="D17">RADIANS(C17)</f>
        <v>-0.50143309409797088</v>
      </c>
      <c r="E17" s="8"/>
      <c r="F17" s="8"/>
      <c r="G17" s="8"/>
      <c r="H17" s="23"/>
      <c r="I17" s="24"/>
      <c r="J17" s="15"/>
      <c r="K17" s="15"/>
      <c r="L17" s="15"/>
      <c r="M17" s="6"/>
      <c r="N17" s="33"/>
      <c r="O17" s="12">
        <v>0.98480769626481723</v>
      </c>
      <c r="P17" s="12">
        <v>-0.1736484994970689</v>
      </c>
      <c r="Q17" s="12">
        <v>6.123233995736766E-17</v>
      </c>
      <c r="R17" s="12">
        <v>110.5</v>
      </c>
      <c r="S17" s="7"/>
      <c r="T17" s="8"/>
      <c r="U17" s="8"/>
      <c r="V17" s="8"/>
      <c r="W17" s="8"/>
      <c r="X17" s="23"/>
      <c r="Y17" s="24"/>
      <c r="Z17" s="15"/>
      <c r="AA17" s="15"/>
      <c r="AB17" s="15"/>
      <c r="AC17" s="6"/>
      <c r="AD17" s="33"/>
      <c r="AE17" s="12">
        <v>-6.0302079650319367E-17</v>
      </c>
      <c r="AF17" s="12">
        <v>1.1183177596044401E-16</v>
      </c>
      <c r="AG17" s="12">
        <v>-1</v>
      </c>
      <c r="AH17" s="12">
        <v>-1.0854374337057485E-14</v>
      </c>
      <c r="AI17" s="7"/>
      <c r="AJ17" s="8"/>
      <c r="AK17" s="8"/>
      <c r="AL17" s="8"/>
      <c r="AM17" s="8"/>
      <c r="AN17" s="8"/>
      <c r="AO17" s="8"/>
      <c r="AP17" s="8"/>
      <c r="AQ17" s="8"/>
      <c r="AR17" s="8"/>
      <c r="AS17" s="8"/>
    </row>
    <row r="18" spans="1:45" ht="16" customHeight="1">
      <c r="A18" s="44"/>
      <c r="B18" s="19" t="s">
        <v>33</v>
      </c>
      <c r="C18" s="20">
        <v>0</v>
      </c>
      <c r="D18" s="21" cm="1">
        <f t="array" ref="D18">RADIANS(C18)</f>
        <v>0</v>
      </c>
      <c r="E18" s="8"/>
      <c r="F18" s="8"/>
      <c r="G18" s="8"/>
      <c r="H18" s="25"/>
      <c r="I18" s="26"/>
      <c r="J18" s="18"/>
      <c r="K18" s="18"/>
      <c r="L18" s="18"/>
      <c r="M18" s="6"/>
      <c r="N18" s="33"/>
      <c r="O18" s="12">
        <v>0.1736484994970689</v>
      </c>
      <c r="P18" s="12">
        <v>0.98480769626481723</v>
      </c>
      <c r="Q18" s="12">
        <v>-6.123233995736766E-17</v>
      </c>
      <c r="R18" s="12">
        <v>23.420000000000009</v>
      </c>
      <c r="S18" s="7"/>
      <c r="T18" s="8"/>
      <c r="U18" s="8"/>
      <c r="V18" s="8"/>
      <c r="W18" s="8"/>
      <c r="X18" s="25"/>
      <c r="Y18" s="26"/>
      <c r="Z18" s="18"/>
      <c r="AA18" s="18"/>
      <c r="AB18" s="18"/>
      <c r="AC18" s="6"/>
      <c r="AD18" s="33"/>
      <c r="AE18" s="12">
        <v>0.98480769626481723</v>
      </c>
      <c r="AF18" s="12">
        <v>0.17364849949706884</v>
      </c>
      <c r="AG18" s="12">
        <v>-3.9966532048785048E-17</v>
      </c>
      <c r="AH18" s="12">
        <v>287.7653853276671</v>
      </c>
      <c r="AI18" s="7"/>
      <c r="AJ18" s="8"/>
      <c r="AK18" s="8"/>
      <c r="AL18" s="8"/>
      <c r="AM18" s="8"/>
      <c r="AN18" s="8"/>
      <c r="AO18" s="8"/>
      <c r="AP18" s="8"/>
      <c r="AQ18" s="8"/>
      <c r="AR18" s="8"/>
      <c r="AS18" s="8"/>
    </row>
    <row r="19" spans="1:45" ht="16" customHeight="1">
      <c r="A19" s="8"/>
      <c r="B19" s="8"/>
      <c r="C19" s="15"/>
      <c r="D19" s="8"/>
      <c r="E19" s="8"/>
      <c r="F19" s="8"/>
      <c r="G19" s="6"/>
      <c r="H19" s="35" t="s">
        <v>34</v>
      </c>
      <c r="I19" s="12" cm="1">
        <f t="array" ref="I19">COS(L4)</f>
        <v>0.17364849949706884</v>
      </c>
      <c r="J19" s="12" cm="1">
        <f t="array" ref="J19">-SIN(L4)</f>
        <v>0.98480769626481723</v>
      </c>
      <c r="K19" s="12">
        <v>0</v>
      </c>
      <c r="L19" s="12" cm="1">
        <f t="array" ref="L19">K4</f>
        <v>23.42</v>
      </c>
      <c r="M19" s="22"/>
      <c r="N19" s="34"/>
      <c r="O19" s="12">
        <v>0</v>
      </c>
      <c r="P19" s="12">
        <v>0</v>
      </c>
      <c r="Q19" s="12">
        <v>0</v>
      </c>
      <c r="R19" s="12">
        <v>1</v>
      </c>
      <c r="S19" s="7"/>
      <c r="T19" s="8"/>
      <c r="U19" s="8"/>
      <c r="V19" s="8"/>
      <c r="W19" s="6"/>
      <c r="X19" s="35" t="s">
        <v>34</v>
      </c>
      <c r="Y19" s="12" cm="1">
        <f t="array" ref="Y19">COS(AB4)</f>
        <v>0.17364849949706884</v>
      </c>
      <c r="Z19" s="12" cm="1">
        <f t="array" ref="Z19">-SIN(AB4)*COS(Z4)</f>
        <v>-0.98480769626481723</v>
      </c>
      <c r="AA19" s="12" cm="1">
        <f t="array" ref="AA19">SIN(AB4)*SIN(Z4)</f>
        <v>-1.2060415930063873E-16</v>
      </c>
      <c r="AB19" s="12" cm="1">
        <f t="array" ref="AB19">AA4*COS(AB4)</f>
        <v>31.256729909472391</v>
      </c>
      <c r="AC19" s="22"/>
      <c r="AD19" s="34"/>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6"/>
      <c r="I20" s="12" cm="1">
        <f t="array" ref="I20">SIN(L4)*COS(J4)</f>
        <v>-6.0302079650319367E-17</v>
      </c>
      <c r="J20" s="12" cm="1">
        <f t="array" ref="J20">COS(L4)*COS(J4)</f>
        <v>1.0632903954291306E-17</v>
      </c>
      <c r="K20" s="12" cm="1">
        <f t="array" ref="K20">-SIN(J4)</f>
        <v>1</v>
      </c>
      <c r="L20" s="12" cm="1">
        <f t="array" ref="L20">-M4*SIN(J4)</f>
        <v>0</v>
      </c>
      <c r="M20" s="7"/>
      <c r="N20" s="15"/>
      <c r="O20" s="15"/>
      <c r="P20" s="15"/>
      <c r="Q20" s="15"/>
      <c r="R20" s="15"/>
      <c r="S20" s="8"/>
      <c r="T20" s="8"/>
      <c r="U20" s="8"/>
      <c r="V20" s="8"/>
      <c r="W20" s="6"/>
      <c r="X20" s="36"/>
      <c r="Y20" s="12" cm="1">
        <f t="array" ref="Y20">SIN(AB4)</f>
        <v>-0.98480769626481723</v>
      </c>
      <c r="Z20" s="12" cm="1">
        <f t="array" ref="Z20">COS(AB4)*COS(Z4)</f>
        <v>-0.17364849949706884</v>
      </c>
      <c r="AA20" s="12" cm="1">
        <f t="array" ref="AA20">-COS(AB4)*SIN(Z4)</f>
        <v>-2.1265807908582613E-17</v>
      </c>
      <c r="AB20" s="12" cm="1">
        <f t="array" ref="AB20">AA4*SIN(AB4)</f>
        <v>-177.2653853276671</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2.8962416690160015E-14</v>
      </c>
      <c r="D21" s="28" cm="1">
        <f t="array" ref="D21">AH41</f>
        <v>316.78535131080059</v>
      </c>
      <c r="E21" s="28" cm="1">
        <f t="array" ref="E21">IF(ABS(C21-D21)&lt;0.1,1,0)</f>
        <v>0</v>
      </c>
      <c r="F21" s="8"/>
      <c r="G21" s="6"/>
      <c r="H21" s="36"/>
      <c r="I21" s="12" cm="1">
        <f t="array" ref="I21">SIN(L4)*SIN(J4)</f>
        <v>0.98480769626481723</v>
      </c>
      <c r="J21" s="12" cm="1">
        <f t="array" ref="J21">COS(L4)*SIN(J4)</f>
        <v>-0.17364849949706884</v>
      </c>
      <c r="K21" s="12" cm="1">
        <f t="array" ref="K21">COS(J4)</f>
        <v>6.123233995736766E-17</v>
      </c>
      <c r="L21" s="12" cm="1">
        <f t="array" ref="L21">M4*COS(J4)</f>
        <v>0</v>
      </c>
      <c r="M21" s="7"/>
      <c r="N21" s="8"/>
      <c r="O21" s="8"/>
      <c r="P21" s="8"/>
      <c r="Q21" s="8"/>
      <c r="R21" s="8"/>
      <c r="S21" s="8"/>
      <c r="T21" s="8"/>
      <c r="U21" s="8"/>
      <c r="V21" s="8"/>
      <c r="W21" s="6"/>
      <c r="X21" s="36"/>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244.65626116816583</v>
      </c>
      <c r="D22" s="28" cm="1">
        <f t="array" ref="D22">AH42</f>
        <v>-2.6831089774915E-14</v>
      </c>
      <c r="E22" s="28" cm="1">
        <f t="array" ref="E22">IF(ABS(C22-D22)&lt;0.1,1,0)</f>
        <v>0</v>
      </c>
      <c r="F22" s="8"/>
      <c r="G22" s="6"/>
      <c r="H22" s="36"/>
      <c r="I22" s="12">
        <v>0</v>
      </c>
      <c r="J22" s="12">
        <v>0</v>
      </c>
      <c r="K22" s="12">
        <v>0</v>
      </c>
      <c r="L22" s="12">
        <v>1</v>
      </c>
      <c r="M22" s="7"/>
      <c r="N22" s="18"/>
      <c r="O22" s="18"/>
      <c r="P22" s="18"/>
      <c r="Q22" s="18"/>
      <c r="R22" s="18"/>
      <c r="S22" s="8"/>
      <c r="T22" s="8"/>
      <c r="U22" s="8"/>
      <c r="V22" s="8"/>
      <c r="W22" s="6"/>
      <c r="X22" s="36"/>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330.7984203821494</v>
      </c>
      <c r="D23" s="28" cm="1">
        <f t="array" ref="D23">AH43</f>
        <v>319.96439258575617</v>
      </c>
      <c r="E23" s="28" cm="1">
        <f t="array" ref="E23">IF(ABS(C23-D23)&lt;0.1,1,0)</f>
        <v>0</v>
      </c>
      <c r="F23" s="8"/>
      <c r="G23" s="8"/>
      <c r="H23" s="23"/>
      <c r="I23" s="24"/>
      <c r="J23" s="15"/>
      <c r="K23" s="15"/>
      <c r="L23" s="15"/>
      <c r="M23" s="6"/>
      <c r="N23" s="32" t="s">
        <v>41</v>
      </c>
      <c r="O23" s="12" cm="1">
        <f t="array" ref="O23:R26">MMULT(_xlfn.ANCHORARRAY(O16),I25:L28)</f>
        <v>-2.5318077775183396E-17</v>
      </c>
      <c r="P23" s="12">
        <v>8.2811797777122638E-17</v>
      </c>
      <c r="Q23" s="12">
        <v>1</v>
      </c>
      <c r="R23" s="12">
        <v>-7.5063902234835001E-15</v>
      </c>
      <c r="S23" s="7"/>
      <c r="T23" s="8"/>
      <c r="U23" s="8"/>
      <c r="V23" s="8"/>
      <c r="W23" s="8"/>
      <c r="X23" s="23"/>
      <c r="Y23" s="24"/>
      <c r="Z23" s="15"/>
      <c r="AA23" s="15"/>
      <c r="AB23" s="15"/>
      <c r="AC23" s="6"/>
      <c r="AD23" s="32" t="s">
        <v>41</v>
      </c>
      <c r="AE23" s="12" cm="1">
        <f t="array" ref="AE23:AH26">MMULT(_xlfn.ANCHORARRAY(AE16),Y25:AB28)</f>
        <v>0.13908102485262044</v>
      </c>
      <c r="AF23" s="12">
        <v>-5.9966936159600695E-17</v>
      </c>
      <c r="AG23" s="12">
        <v>-0.99028100482940951</v>
      </c>
      <c r="AH23" s="12">
        <v>48.626705328383402</v>
      </c>
      <c r="AI23" s="7"/>
      <c r="AJ23" s="8"/>
      <c r="AK23" s="8"/>
      <c r="AL23" s="8"/>
      <c r="AM23" s="8"/>
      <c r="AN23" s="8"/>
      <c r="AO23" s="8"/>
      <c r="AP23" s="8"/>
      <c r="AQ23" s="8"/>
      <c r="AR23" s="8"/>
      <c r="AS23" s="8"/>
    </row>
    <row r="24" spans="1:45" ht="16" customHeight="1">
      <c r="A24" s="40"/>
      <c r="B24" s="16" t="s">
        <v>42</v>
      </c>
      <c r="C24" s="28" cm="1">
        <f t="array" ref="C24">DEGREES(C27)</f>
        <v>-0.72998127603165697</v>
      </c>
      <c r="D24" s="28" cm="1">
        <f t="array" ref="D24">DEGREES(D27)</f>
        <v>-1.4994029875553573E-2</v>
      </c>
      <c r="E24" s="8"/>
      <c r="G24" s="8"/>
      <c r="H24" s="25"/>
      <c r="I24" s="26"/>
      <c r="J24" s="18"/>
      <c r="K24" s="18"/>
      <c r="L24" s="18"/>
      <c r="M24" s="6"/>
      <c r="N24" s="33"/>
      <c r="O24" s="12">
        <v>0.88294743943796894</v>
      </c>
      <c r="P24" s="12">
        <v>-0.46947185132863301</v>
      </c>
      <c r="Q24" s="12">
        <v>6.123233995736766E-17</v>
      </c>
      <c r="R24" s="12">
        <v>287.7653853276671</v>
      </c>
      <c r="S24" s="7"/>
      <c r="T24" s="8"/>
      <c r="U24" s="8"/>
      <c r="V24" s="8"/>
      <c r="W24" s="8"/>
      <c r="X24" s="25"/>
      <c r="Y24" s="26"/>
      <c r="Z24" s="18"/>
      <c r="AA24" s="18"/>
      <c r="AB24" s="18"/>
      <c r="AC24" s="6"/>
      <c r="AD24" s="33"/>
      <c r="AE24" s="12">
        <v>2.2804347439796128E-17</v>
      </c>
      <c r="AF24" s="12">
        <v>-1</v>
      </c>
      <c r="AG24" s="12">
        <v>6.3758254338625136E-17</v>
      </c>
      <c r="AH24" s="12">
        <v>-1.1846363450688617E-14</v>
      </c>
      <c r="AI24" s="7"/>
      <c r="AJ24" s="8"/>
      <c r="AK24" s="8"/>
      <c r="AL24" s="8"/>
      <c r="AM24" s="8"/>
      <c r="AN24" s="8"/>
      <c r="AO24" s="8"/>
      <c r="AP24" s="8"/>
      <c r="AQ24" s="8"/>
      <c r="AR24" s="8"/>
      <c r="AS24" s="8"/>
    </row>
    <row r="25" spans="1:45" ht="16" customHeight="1">
      <c r="A25" s="40"/>
      <c r="B25" s="16" t="s">
        <v>43</v>
      </c>
      <c r="C25" s="28" cm="1">
        <f t="array" ref="C25">DEGREES(C28)</f>
        <v>7.0611218127027837E-15</v>
      </c>
      <c r="D25" s="28" cm="1">
        <f t="array" ref="D25">DEGREES(D28)</f>
        <v>-69.264671966748153</v>
      </c>
      <c r="E25" s="8"/>
      <c r="G25" s="6"/>
      <c r="H25" s="35" t="s">
        <v>44</v>
      </c>
      <c r="I25" s="12" cm="1">
        <f t="array" ref="I25">COS(L5)</f>
        <v>0.95105651629515353</v>
      </c>
      <c r="J25" s="12" cm="1">
        <f t="array" ref="J25">-SIN(L5)</f>
        <v>-0.3090169943749474</v>
      </c>
      <c r="K25" s="12">
        <v>0</v>
      </c>
      <c r="L25" s="12" cm="1">
        <f t="array" ref="L25">K5</f>
        <v>180</v>
      </c>
      <c r="M25" s="22"/>
      <c r="N25" s="33"/>
      <c r="O25" s="12">
        <v>0.46947185132863301</v>
      </c>
      <c r="P25" s="12">
        <v>0.88294743943796894</v>
      </c>
      <c r="Q25" s="12">
        <v>-6.123233995736766E-17</v>
      </c>
      <c r="R25" s="12">
        <v>54.676729909472414</v>
      </c>
      <c r="S25" s="7"/>
      <c r="T25" s="8"/>
      <c r="U25" s="8"/>
      <c r="V25" s="8"/>
      <c r="W25" s="6"/>
      <c r="X25" s="35" t="s">
        <v>44</v>
      </c>
      <c r="Y25" s="12" cm="1">
        <f t="array" ref="Y25">COS(AB5)</f>
        <v>-0.95108514374668696</v>
      </c>
      <c r="Z25" s="12" cm="1">
        <f t="array" ref="Z25">-SIN(AB5)*COS(Z5)</f>
        <v>1.8916437850620962E-17</v>
      </c>
      <c r="AA25" s="12" cm="1">
        <f t="array" ref="AA25">SIN(AB5)*SIN(Z5)</f>
        <v>-0.30892887424833548</v>
      </c>
      <c r="AB25" s="12" cm="1">
        <f t="array" ref="AB25">AA5*COS(AB5)</f>
        <v>41.37220375298088</v>
      </c>
      <c r="AC25" s="22"/>
      <c r="AD25" s="33"/>
      <c r="AE25" s="12">
        <v>-0.99028100482940951</v>
      </c>
      <c r="AF25" s="12">
        <v>-3.1450275453390291E-17</v>
      </c>
      <c r="AG25" s="12">
        <v>-0.13908102485262044</v>
      </c>
      <c r="AH25" s="12">
        <v>330.8426090377464</v>
      </c>
      <c r="AI25" s="7"/>
      <c r="AJ25" s="8"/>
      <c r="AK25" s="8"/>
      <c r="AL25" s="8"/>
      <c r="AM25" s="8"/>
      <c r="AN25" s="8"/>
      <c r="AO25" s="8"/>
      <c r="AP25" s="8"/>
      <c r="AQ25" s="8"/>
      <c r="AR25" s="8"/>
      <c r="AS25" s="8"/>
    </row>
    <row r="26" spans="1:45" ht="16" customHeight="1">
      <c r="A26" s="40"/>
      <c r="B26" s="16" t="s">
        <v>45</v>
      </c>
      <c r="C26" s="28" cm="1">
        <f t="array" ref="C26">DEGREES(C29)</f>
        <v>6.9717273078891572E-15</v>
      </c>
      <c r="D26" s="28" cm="1">
        <f t="array" ref="D26">DEGREES(D29)</f>
        <v>90.005308659651874</v>
      </c>
      <c r="E26" s="8"/>
      <c r="G26" s="6"/>
      <c r="H26" s="36"/>
      <c r="I26" s="12" cm="1">
        <f t="array" ref="I26">SIN(L5)*COS(J5)</f>
        <v>0.3090169943749474</v>
      </c>
      <c r="J26" s="12" cm="1">
        <f t="array" ref="J26">COS(L5)*COS(J5)</f>
        <v>0.95105651629515353</v>
      </c>
      <c r="K26" s="12" cm="1">
        <f t="array" ref="K26">-SIN(J5)</f>
        <v>0</v>
      </c>
      <c r="L26" s="12" cm="1">
        <f t="array" ref="L26">-M5*SIN(J5)</f>
        <v>0</v>
      </c>
      <c r="M26" s="22"/>
      <c r="N26" s="34"/>
      <c r="O26" s="12">
        <v>0</v>
      </c>
      <c r="P26" s="12">
        <v>0</v>
      </c>
      <c r="Q26" s="12">
        <v>0</v>
      </c>
      <c r="R26" s="12">
        <v>1</v>
      </c>
      <c r="S26" s="7"/>
      <c r="T26" s="8"/>
      <c r="U26" s="8"/>
      <c r="V26" s="8"/>
      <c r="W26" s="6"/>
      <c r="X26" s="36"/>
      <c r="Y26" s="12" cm="1">
        <f t="array" ref="Y26">SIN(AB5)</f>
        <v>-0.30892887424833548</v>
      </c>
      <c r="Z26" s="12" cm="1">
        <f t="array" ref="Z26">COS(AB5)*COS(Z5)</f>
        <v>-5.823716885029902E-17</v>
      </c>
      <c r="AA26" s="12" cm="1">
        <f t="array" ref="AA26">-COS(AB5)*SIN(Z5)</f>
        <v>0.95108514374668696</v>
      </c>
      <c r="AB26" s="12" cm="1">
        <f t="array" ref="AB26">AA5*SIN(AB5)</f>
        <v>13.438406029802593</v>
      </c>
      <c r="AC26" s="22"/>
      <c r="AD26" s="34"/>
      <c r="AE26" s="12">
        <v>0</v>
      </c>
      <c r="AF26" s="12">
        <v>0</v>
      </c>
      <c r="AG26" s="12">
        <v>0</v>
      </c>
      <c r="AH26" s="12">
        <v>1</v>
      </c>
      <c r="AI26" s="7"/>
      <c r="AJ26" s="8"/>
      <c r="AK26" s="8"/>
      <c r="AL26" s="8"/>
      <c r="AM26" s="8"/>
      <c r="AN26" s="8"/>
      <c r="AO26" s="8"/>
      <c r="AP26" s="8"/>
      <c r="AQ26" s="8"/>
      <c r="AR26" s="8"/>
      <c r="AS26" s="8"/>
    </row>
    <row r="27" spans="1:45" ht="16" customHeight="1">
      <c r="A27" s="8"/>
      <c r="B27" s="8" t="s">
        <v>56</v>
      </c>
      <c r="C27" s="28">
        <f>ATAN2(Q49,P49)</f>
        <v>-1.274057674466198E-2</v>
      </c>
      <c r="D27" s="28" cm="1">
        <f t="array" ref="D27">ATAN2(AE41/COS(D28),AE42/COS(D28))</f>
        <v>-2.6169518947080547E-4</v>
      </c>
      <c r="E27" s="8"/>
      <c r="F27" s="8"/>
      <c r="G27" s="6"/>
      <c r="H27" s="36"/>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6"/>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t="s">
        <v>57</v>
      </c>
      <c r="C28" s="28">
        <f>ATAN2((P49^2+Q49^2)^0.5,-O49)</f>
        <v>1.2323982451605394E-16</v>
      </c>
      <c r="D28" s="28" cm="1">
        <f t="array" ref="D28">ATAN2((AF43^2+AG43^2)^0.5,-AE43)</f>
        <v>-1.2088965811335717</v>
      </c>
      <c r="E28" s="8"/>
      <c r="F28" s="8"/>
      <c r="G28" s="6"/>
      <c r="H28" s="36"/>
      <c r="I28" s="12">
        <v>0</v>
      </c>
      <c r="J28" s="12">
        <v>0</v>
      </c>
      <c r="K28" s="12">
        <v>0</v>
      </c>
      <c r="L28" s="12">
        <v>1</v>
      </c>
      <c r="M28" s="7"/>
      <c r="N28" s="18"/>
      <c r="O28" s="18"/>
      <c r="P28" s="18"/>
      <c r="Q28" s="18"/>
      <c r="R28" s="18"/>
      <c r="S28" s="8"/>
      <c r="T28" s="8"/>
      <c r="U28" s="8"/>
      <c r="V28" s="8"/>
      <c r="W28" s="6"/>
      <c r="X28" s="36"/>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t="s">
        <v>58</v>
      </c>
      <c r="C29" s="28">
        <f>ATAN2(O47,O48)</f>
        <v>1.2167959607386623E-16</v>
      </c>
      <c r="D29" s="28" cm="1">
        <f t="array" ref="D29">ATAN2(AF43/COS(D28),AE43/COS(D28))</f>
        <v>1.5708889803846895</v>
      </c>
      <c r="E29" s="8"/>
      <c r="G29" s="8"/>
      <c r="H29" s="23"/>
      <c r="I29" s="24"/>
      <c r="J29" s="15"/>
      <c r="K29" s="15"/>
      <c r="L29" s="15"/>
      <c r="M29" s="6"/>
      <c r="N29" s="32" t="s">
        <v>46</v>
      </c>
      <c r="O29" s="12" cm="1">
        <f t="array" ref="O29:R32">MMULT(_xlfn.ANCHORARRAY(O23),I31:L34)</f>
        <v>-2.5318077775183396E-17</v>
      </c>
      <c r="P29" s="12">
        <v>-1</v>
      </c>
      <c r="Q29" s="12">
        <v>1.440441377344903E-16</v>
      </c>
      <c r="R29" s="12">
        <v>1.6794457082773388E-14</v>
      </c>
      <c r="S29" s="7"/>
      <c r="T29" s="8"/>
      <c r="U29" s="8"/>
      <c r="V29" s="8"/>
      <c r="W29" s="8"/>
      <c r="X29" s="23"/>
      <c r="Y29" s="24"/>
      <c r="Z29" s="15"/>
      <c r="AA29" s="15"/>
      <c r="AB29" s="15"/>
      <c r="AC29" s="6"/>
      <c r="AD29" s="32" t="s">
        <v>46</v>
      </c>
      <c r="AE29" s="12" cm="1">
        <f t="array" ref="AE29:AH32">MMULT(_xlfn.ANCHORARRAY(AE23),Y31:AB34)</f>
        <v>0.13908102485262044</v>
      </c>
      <c r="AF29" s="12">
        <v>0.99028100482940951</v>
      </c>
      <c r="AG29" s="12">
        <v>-1.2060415930063873E-16</v>
      </c>
      <c r="AH29" s="12">
        <v>223.26276053004975</v>
      </c>
      <c r="AI29" s="7"/>
      <c r="AJ29" s="8"/>
      <c r="AK29" s="8"/>
      <c r="AL29" s="8"/>
      <c r="AM29" s="8"/>
      <c r="AN29" s="8"/>
      <c r="AO29" s="8"/>
      <c r="AP29" s="8"/>
      <c r="AQ29" s="8"/>
      <c r="AR29" s="8"/>
      <c r="AS29" s="8"/>
    </row>
    <row r="30" spans="1:45" ht="16" customHeight="1">
      <c r="A30" s="8"/>
      <c r="B30" s="8"/>
      <c r="C30" s="8"/>
      <c r="D30" s="8"/>
      <c r="E30" s="8"/>
      <c r="G30" s="8"/>
      <c r="H30" s="25"/>
      <c r="I30" s="26"/>
      <c r="J30" s="18"/>
      <c r="K30" s="18"/>
      <c r="L30" s="18"/>
      <c r="M30" s="6"/>
      <c r="N30" s="33"/>
      <c r="O30" s="12">
        <v>0.88294743943796894</v>
      </c>
      <c r="P30" s="12">
        <v>-8.9979199958337278E-17</v>
      </c>
      <c r="Q30" s="12">
        <v>-0.46947185132863301</v>
      </c>
      <c r="R30" s="12">
        <v>243.38223796141432</v>
      </c>
      <c r="S30" s="7"/>
      <c r="T30" s="8"/>
      <c r="U30" s="8"/>
      <c r="V30" s="8"/>
      <c r="W30" s="8"/>
      <c r="X30" s="25"/>
      <c r="Y30" s="26"/>
      <c r="Z30" s="18"/>
      <c r="AA30" s="18"/>
      <c r="AB30" s="18"/>
      <c r="AC30" s="6"/>
      <c r="AD30" s="33"/>
      <c r="AE30" s="12">
        <v>2.2804347439796128E-17</v>
      </c>
      <c r="AF30" s="12">
        <v>-1.249905942959928E-16</v>
      </c>
      <c r="AG30" s="12">
        <v>-1</v>
      </c>
      <c r="AH30" s="12">
        <v>-2.3090131603305158E-14</v>
      </c>
      <c r="AI30" s="7"/>
      <c r="AJ30" s="8"/>
      <c r="AK30" s="8"/>
      <c r="AL30" s="8"/>
      <c r="AM30" s="8"/>
      <c r="AN30" s="8"/>
      <c r="AO30" s="8"/>
      <c r="AP30" s="8"/>
      <c r="AQ30" s="8"/>
      <c r="AR30" s="8"/>
      <c r="AS30" s="8"/>
    </row>
    <row r="31" spans="1:45" ht="16" customHeight="1">
      <c r="A31" s="8"/>
      <c r="B31" s="8"/>
      <c r="C31" s="8"/>
      <c r="D31" s="8"/>
      <c r="E31" s="8"/>
      <c r="G31" s="6"/>
      <c r="H31" s="35" t="s">
        <v>47</v>
      </c>
      <c r="I31" s="12" cm="1">
        <f t="array" ref="I31">COS(L6)</f>
        <v>1</v>
      </c>
      <c r="J31" s="12" cm="1">
        <f t="array" ref="J31">-SIN(L6)</f>
        <v>0</v>
      </c>
      <c r="K31" s="12">
        <v>0</v>
      </c>
      <c r="L31" s="12" cm="1">
        <f t="array" ref="L31">K6</f>
        <v>43.5</v>
      </c>
      <c r="M31" s="22"/>
      <c r="N31" s="33"/>
      <c r="O31" s="12">
        <v>0.46947185132863301</v>
      </c>
      <c r="P31" s="12">
        <v>1.1529727773352067E-16</v>
      </c>
      <c r="Q31" s="12">
        <v>0.88294743943796894</v>
      </c>
      <c r="R31" s="12">
        <v>230.80653638715378</v>
      </c>
      <c r="S31" s="7"/>
      <c r="T31" s="8"/>
      <c r="U31" s="8"/>
      <c r="V31" s="8"/>
      <c r="W31" s="6"/>
      <c r="X31" s="35" t="s">
        <v>47</v>
      </c>
      <c r="Y31" s="12" cm="1">
        <f t="array" ref="Y31">COS(AB6)</f>
        <v>1</v>
      </c>
      <c r="Z31" s="12" cm="1">
        <f t="array" ref="Z31">-SIN(AB6)*COS(Z6)</f>
        <v>0</v>
      </c>
      <c r="AA31" s="12" cm="1">
        <f t="array" ref="AA31">SIN(AB6)*SIN(Z6)</f>
        <v>0</v>
      </c>
      <c r="AB31" s="12" cm="1">
        <f t="array" ref="AB31">AA6*COS(AB6)</f>
        <v>0</v>
      </c>
      <c r="AC31" s="22"/>
      <c r="AD31" s="33"/>
      <c r="AE31" s="12">
        <v>-0.99028100482940951</v>
      </c>
      <c r="AF31" s="12">
        <v>0.13908102485262044</v>
      </c>
      <c r="AG31" s="12">
        <v>-3.9966532048785048E-17</v>
      </c>
      <c r="AH31" s="12">
        <v>355.36954777050602</v>
      </c>
      <c r="AI31" s="7"/>
      <c r="AJ31" s="8"/>
      <c r="AK31" s="8"/>
      <c r="AL31" s="8"/>
      <c r="AM31" s="8"/>
      <c r="AN31" s="8"/>
      <c r="AO31" s="8"/>
      <c r="AP31" s="8"/>
      <c r="AQ31" s="8"/>
      <c r="AR31" s="8"/>
      <c r="AS31" s="8"/>
    </row>
    <row r="32" spans="1:45" ht="16" customHeight="1">
      <c r="A32" s="8"/>
      <c r="B32" s="8"/>
      <c r="C32" s="8"/>
      <c r="D32" s="8"/>
      <c r="E32" s="8"/>
      <c r="F32" s="8"/>
      <c r="G32" s="6"/>
      <c r="H32" s="36"/>
      <c r="I32" s="12" cm="1">
        <f t="array" ref="I32">SIN(L6)*COS(J6)</f>
        <v>0</v>
      </c>
      <c r="J32" s="12" cm="1">
        <f t="array" ref="J32">COS(L6)*COS(J6)</f>
        <v>6.123233995736766E-17</v>
      </c>
      <c r="K32" s="12" cm="1">
        <f t="array" ref="K32">-SIN(J6)</f>
        <v>1</v>
      </c>
      <c r="L32" s="12" cm="1">
        <f t="array" ref="L32">-M6*SIN(J6)</f>
        <v>176.35</v>
      </c>
      <c r="M32" s="22"/>
      <c r="N32" s="34"/>
      <c r="O32" s="12">
        <v>0</v>
      </c>
      <c r="P32" s="12">
        <v>0</v>
      </c>
      <c r="Q32" s="12">
        <v>0</v>
      </c>
      <c r="R32" s="12">
        <v>1</v>
      </c>
      <c r="S32" s="7"/>
      <c r="T32" s="8"/>
      <c r="U32" s="8"/>
      <c r="V32" s="8"/>
      <c r="W32" s="6"/>
      <c r="X32" s="36"/>
      <c r="Y32" s="12" cm="1">
        <f t="array" ref="Y32">SIN(AB6)</f>
        <v>0</v>
      </c>
      <c r="Z32" s="12" cm="1">
        <f t="array" ref="Z32">COS(AB6)*COS(Z6)</f>
        <v>6.123233995736766E-17</v>
      </c>
      <c r="AA32" s="12" cm="1">
        <f t="array" ref="AA32">-COS(AB6)*SIN(Z6)</f>
        <v>1</v>
      </c>
      <c r="AB32" s="12" cm="1">
        <f t="array" ref="AB32">AA6*SIN(AB6)</f>
        <v>0</v>
      </c>
      <c r="AC32" s="22"/>
      <c r="AD32" s="34"/>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6"/>
      <c r="I33" s="12" cm="1">
        <f t="array" ref="I33">SIN(L6)*SIN(J6)</f>
        <v>0</v>
      </c>
      <c r="J33" s="12" cm="1">
        <f t="array" ref="J33">COS(L6)*SIN(J6)</f>
        <v>-1</v>
      </c>
      <c r="K33" s="12" cm="1">
        <f t="array" ref="K33">COS(J6)</f>
        <v>6.123233995736766E-17</v>
      </c>
      <c r="L33" s="12" cm="1">
        <f t="array" ref="L33">M6*COS(J6)</f>
        <v>1.0798323151481786E-14</v>
      </c>
      <c r="M33" s="7"/>
      <c r="N33" s="15"/>
      <c r="O33" s="15"/>
      <c r="P33" s="15"/>
      <c r="Q33" s="15"/>
      <c r="R33" s="15"/>
      <c r="S33" s="8"/>
      <c r="T33" s="8"/>
      <c r="U33" s="8"/>
      <c r="V33" s="8"/>
      <c r="W33" s="6"/>
      <c r="X33" s="36"/>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6"/>
      <c r="I34" s="12">
        <v>0</v>
      </c>
      <c r="J34" s="12">
        <v>0</v>
      </c>
      <c r="K34" s="12">
        <v>0</v>
      </c>
      <c r="L34" s="12">
        <v>1</v>
      </c>
      <c r="M34" s="7"/>
      <c r="N34" s="18"/>
      <c r="O34" s="18"/>
      <c r="P34" s="18"/>
      <c r="Q34" s="18"/>
      <c r="R34" s="18"/>
      <c r="S34" s="8"/>
      <c r="T34" s="8"/>
      <c r="U34" s="8"/>
      <c r="V34" s="8"/>
      <c r="W34" s="6"/>
      <c r="X34" s="36"/>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2" t="s">
        <v>48</v>
      </c>
      <c r="O35" s="12" cm="1">
        <f t="array" ref="O35:R38">MMULT(_xlfn.ANCHORARRAY(O29),I37:L40)</f>
        <v>-6.2007484558686267E-17</v>
      </c>
      <c r="P35" s="12">
        <v>6.0447256116498581E-17</v>
      </c>
      <c r="Q35" s="12">
        <v>1</v>
      </c>
      <c r="R35" s="12">
        <v>1.6794457082773388E-14</v>
      </c>
      <c r="S35" s="7"/>
      <c r="T35" s="8"/>
      <c r="U35" s="8"/>
      <c r="V35" s="8"/>
      <c r="W35" s="8"/>
      <c r="X35" s="23"/>
      <c r="Y35" s="24"/>
      <c r="Z35" s="15"/>
      <c r="AA35" s="15"/>
      <c r="AB35" s="15"/>
      <c r="AC35" s="6"/>
      <c r="AD35" s="32" t="s">
        <v>48</v>
      </c>
      <c r="AE35" s="12" cm="1">
        <f t="array" ref="AE35:AH38">MMULT(_xlfn.ANCHORARRAY(AE29),Y37:AB40)</f>
        <v>-0.35405155184749815</v>
      </c>
      <c r="AF35" s="12">
        <v>-6.333808857683158E-17</v>
      </c>
      <c r="AG35" s="12">
        <v>-0.93522590780750858</v>
      </c>
      <c r="AH35" s="12">
        <v>223.26276053004975</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3"/>
      <c r="O36" s="12">
        <v>0.99991883994995601</v>
      </c>
      <c r="P36" s="12">
        <v>1.2740232067514956E-2</v>
      </c>
      <c r="Q36" s="12">
        <v>6.1232339957367648E-17</v>
      </c>
      <c r="R36" s="12">
        <v>243.38223796141432</v>
      </c>
      <c r="S36" s="7"/>
      <c r="T36" s="8"/>
      <c r="U36" s="8"/>
      <c r="V36" s="8"/>
      <c r="W36" s="8"/>
      <c r="X36" s="25"/>
      <c r="Y36" s="26"/>
      <c r="Z36" s="18"/>
      <c r="AA36" s="18"/>
      <c r="AB36" s="18"/>
      <c r="AC36" s="6"/>
      <c r="AD36" s="33"/>
      <c r="AE36" s="12">
        <v>8.0077825976896905E-17</v>
      </c>
      <c r="AF36" s="12">
        <v>-1</v>
      </c>
      <c r="AG36" s="12">
        <v>3.7409581716098431E-17</v>
      </c>
      <c r="AH36" s="12">
        <v>-2.3090131603305158E-14</v>
      </c>
      <c r="AI36" s="7"/>
      <c r="AJ36" s="8"/>
      <c r="AK36" s="8"/>
      <c r="AL36" s="8"/>
      <c r="AM36" s="8"/>
      <c r="AN36" s="8"/>
      <c r="AO36" s="8"/>
      <c r="AP36" s="8"/>
      <c r="AQ36" s="8"/>
      <c r="AR36" s="8"/>
      <c r="AS36" s="8"/>
    </row>
    <row r="37" spans="1:45" ht="16" customHeight="1">
      <c r="A37" s="8"/>
      <c r="B37" s="8"/>
      <c r="C37" s="8"/>
      <c r="D37" s="8"/>
      <c r="E37" s="8"/>
      <c r="F37" s="8"/>
      <c r="G37" s="6"/>
      <c r="H37" s="35" t="s">
        <v>49</v>
      </c>
      <c r="I37" s="12" cm="1">
        <f t="array" ref="I37">COS(L7)</f>
        <v>0.8768945990445054</v>
      </c>
      <c r="J37" s="12" cm="1">
        <f t="array" ref="J37">-SIN(L7)</f>
        <v>0.4806827042515428</v>
      </c>
      <c r="K37" s="12">
        <v>0</v>
      </c>
      <c r="L37" s="12" cm="1">
        <f t="array" ref="L37">K7</f>
        <v>0</v>
      </c>
      <c r="M37" s="22"/>
      <c r="N37" s="33"/>
      <c r="O37" s="12">
        <v>-1.2740232067514956E-2</v>
      </c>
      <c r="P37" s="12">
        <v>0.99991883994995601</v>
      </c>
      <c r="Q37" s="12">
        <v>-6.123233995736766E-17</v>
      </c>
      <c r="R37" s="12">
        <v>230.80653638715378</v>
      </c>
      <c r="S37" s="7"/>
      <c r="T37" s="8"/>
      <c r="U37" s="8"/>
      <c r="V37" s="8"/>
      <c r="W37" s="6"/>
      <c r="X37" s="35" t="s">
        <v>49</v>
      </c>
      <c r="Y37" s="12" cm="1">
        <f t="array" ref="Y37">COS(AB7)</f>
        <v>0.8768945990445054</v>
      </c>
      <c r="Z37" s="12" cm="1">
        <f t="array" ref="Z37">-SIN(AB7)*COS(Z7)</f>
        <v>2.9433326758357286E-17</v>
      </c>
      <c r="AA37" s="12" cm="1">
        <f t="array" ref="AA37">SIN(AB7)*SIN(Z7)</f>
        <v>-0.4806827042515428</v>
      </c>
      <c r="AB37" s="12" cm="1">
        <f t="array" ref="AB37">AA7*COS(AB7)</f>
        <v>0</v>
      </c>
      <c r="AC37" s="22"/>
      <c r="AD37" s="33"/>
      <c r="AE37" s="12">
        <v>-0.93522590780750858</v>
      </c>
      <c r="AF37" s="12">
        <v>-6.1645937033944643E-17</v>
      </c>
      <c r="AG37" s="12">
        <v>0.35405155184749815</v>
      </c>
      <c r="AH37" s="12">
        <v>355.36954777050602</v>
      </c>
      <c r="AI37" s="7"/>
      <c r="AJ37" s="8"/>
      <c r="AK37" s="8"/>
      <c r="AL37" s="8"/>
      <c r="AM37" s="8"/>
      <c r="AN37" s="8"/>
      <c r="AO37" s="8"/>
      <c r="AP37" s="8"/>
      <c r="AQ37" s="8"/>
      <c r="AR37" s="8"/>
      <c r="AS37" s="8"/>
    </row>
    <row r="38" spans="1:45" ht="16" customHeight="1">
      <c r="A38" s="8"/>
      <c r="B38" s="8"/>
      <c r="C38" s="8"/>
      <c r="D38" s="8"/>
      <c r="E38" s="8"/>
      <c r="F38" s="8"/>
      <c r="G38" s="6"/>
      <c r="H38" s="36"/>
      <c r="I38" s="12" cm="1">
        <f t="array" ref="I38">SIN(L7)*COS(J7)</f>
        <v>-2.9433326758357286E-17</v>
      </c>
      <c r="J38" s="12" cm="1">
        <f t="array" ref="J38">COS(L7)*COS(J7)</f>
        <v>5.3694308195472764E-17</v>
      </c>
      <c r="K38" s="12" cm="1">
        <f t="array" ref="K38">-SIN(J7)</f>
        <v>-1</v>
      </c>
      <c r="L38" s="12" cm="1">
        <f t="array" ref="L38">-M7*SIN(J7)</f>
        <v>0</v>
      </c>
      <c r="M38" s="22"/>
      <c r="N38" s="34"/>
      <c r="O38" s="12">
        <v>0</v>
      </c>
      <c r="P38" s="12">
        <v>0</v>
      </c>
      <c r="Q38" s="12">
        <v>0</v>
      </c>
      <c r="R38" s="12">
        <v>1</v>
      </c>
      <c r="S38" s="7"/>
      <c r="T38" s="8"/>
      <c r="U38" s="8"/>
      <c r="V38" s="8"/>
      <c r="W38" s="6"/>
      <c r="X38" s="36"/>
      <c r="Y38" s="12" cm="1">
        <f t="array" ref="Y38">SIN(AB7)</f>
        <v>-0.4806827042515428</v>
      </c>
      <c r="Z38" s="12" cm="1">
        <f t="array" ref="Z38">COS(AB7)*COS(Z7)</f>
        <v>5.3694308195472764E-17</v>
      </c>
      <c r="AA38" s="12" cm="1">
        <f t="array" ref="AA38">-COS(AB7)*SIN(Z7)</f>
        <v>-0.8768945990445054</v>
      </c>
      <c r="AB38" s="12" cm="1">
        <f t="array" ref="AB38">AA7*SIN(AB7)</f>
        <v>0</v>
      </c>
      <c r="AC38" s="22"/>
      <c r="AD38" s="34"/>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6"/>
      <c r="I39" s="12" cm="1">
        <f t="array" ref="I39">SIN(L7)*SIN(J7)</f>
        <v>-0.4806827042515428</v>
      </c>
      <c r="J39" s="12" cm="1">
        <f t="array" ref="J39">COS(L7)*SIN(J7)</f>
        <v>0.8768945990445054</v>
      </c>
      <c r="K39" s="12" cm="1">
        <f t="array" ref="K39">COS(J7)</f>
        <v>6.123233995736766E-17</v>
      </c>
      <c r="L39" s="12" cm="1">
        <f t="array" ref="L39">M7*COS(J7)</f>
        <v>0</v>
      </c>
      <c r="M39" s="7"/>
      <c r="N39" s="15"/>
      <c r="O39" s="15"/>
      <c r="P39" s="15"/>
      <c r="Q39" s="15"/>
      <c r="R39" s="15"/>
      <c r="S39" s="8"/>
      <c r="T39" s="8"/>
      <c r="U39" s="8"/>
      <c r="V39" s="8"/>
      <c r="W39" s="6"/>
      <c r="X39" s="36"/>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6"/>
      <c r="I40" s="12">
        <v>0</v>
      </c>
      <c r="J40" s="12">
        <v>0</v>
      </c>
      <c r="K40" s="12">
        <v>0</v>
      </c>
      <c r="L40" s="12">
        <v>1</v>
      </c>
      <c r="M40" s="7"/>
      <c r="N40" s="18"/>
      <c r="O40" s="18"/>
      <c r="P40" s="18"/>
      <c r="Q40" s="18"/>
      <c r="R40" s="18"/>
      <c r="S40" s="8"/>
      <c r="T40" s="8"/>
      <c r="U40" s="8"/>
      <c r="V40" s="8"/>
      <c r="W40" s="6"/>
      <c r="X40" s="36"/>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2" t="s">
        <v>50</v>
      </c>
      <c r="O41" s="12" cm="1">
        <f t="array" ref="O41:R44">MMULT(_xlfn.ANCHORARRAY(O35),I43:L46)</f>
        <v>-6.2007484558686267E-17</v>
      </c>
      <c r="P41" s="12">
        <v>-1</v>
      </c>
      <c r="Q41" s="12">
        <v>1.2167959607386625E-16</v>
      </c>
      <c r="R41" s="12">
        <v>1.6794457082773388E-14</v>
      </c>
      <c r="S41" s="7"/>
      <c r="T41" s="8"/>
      <c r="U41" s="8"/>
      <c r="V41" s="8"/>
      <c r="W41" s="8"/>
      <c r="X41" s="23"/>
      <c r="Y41" s="24"/>
      <c r="Z41" s="15"/>
      <c r="AA41" s="15"/>
      <c r="AB41" s="15"/>
      <c r="AC41" s="6"/>
      <c r="AD41" s="32" t="s">
        <v>50</v>
      </c>
      <c r="AE41" s="12" cm="1">
        <f t="array" ref="AE41:AH44">MMULT(_xlfn.ANCHORARRAY(AE35),Y43:AB46)</f>
        <v>0.35405155032778718</v>
      </c>
      <c r="AF41" s="12">
        <v>-3.2804147203715756E-5</v>
      </c>
      <c r="AG41" s="12">
        <v>0.93522590780750858</v>
      </c>
      <c r="AH41" s="12">
        <v>316.78535131080059</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3"/>
      <c r="O42" s="12">
        <v>0.99991883994995601</v>
      </c>
      <c r="P42" s="12">
        <v>-6.0452225736273818E-17</v>
      </c>
      <c r="Q42" s="12">
        <v>1.2740232067514956E-2</v>
      </c>
      <c r="R42" s="12">
        <v>243.38223796141432</v>
      </c>
      <c r="S42" s="7"/>
      <c r="T42" s="8"/>
      <c r="U42" s="8"/>
      <c r="V42" s="8"/>
      <c r="W42" s="8"/>
      <c r="X42" s="25"/>
      <c r="Y42" s="26"/>
      <c r="Z42" s="18"/>
      <c r="AA42" s="18"/>
      <c r="AB42" s="18"/>
      <c r="AC42" s="6"/>
      <c r="AD42" s="33"/>
      <c r="AE42" s="12">
        <v>-9.265358966057034E-5</v>
      </c>
      <c r="AF42" s="12">
        <v>-0.99999999570765619</v>
      </c>
      <c r="AG42" s="12">
        <v>-1.5987426110517322E-16</v>
      </c>
      <c r="AH42" s="12">
        <v>-2.6831089774915E-14</v>
      </c>
      <c r="AI42" s="7"/>
      <c r="AJ42" s="8"/>
      <c r="AK42" s="8"/>
      <c r="AL42" s="8"/>
      <c r="AM42" s="8"/>
      <c r="AN42" s="8"/>
      <c r="AO42" s="8"/>
      <c r="AP42" s="8"/>
      <c r="AQ42" s="8"/>
      <c r="AR42" s="8"/>
      <c r="AS42" s="8"/>
    </row>
    <row r="43" spans="1:45" ht="16" customHeight="1">
      <c r="A43" s="8"/>
      <c r="B43" s="8"/>
      <c r="C43" s="8"/>
      <c r="D43" s="8"/>
      <c r="E43" s="8"/>
      <c r="F43" s="8"/>
      <c r="G43" s="6"/>
      <c r="H43" s="35" t="s">
        <v>51</v>
      </c>
      <c r="I43" s="12" cm="1">
        <f t="array" ref="I43">COS(L8)</f>
        <v>1</v>
      </c>
      <c r="J43" s="12" cm="1">
        <f t="array" ref="J43">-SIN(L8)</f>
        <v>0</v>
      </c>
      <c r="K43" s="12">
        <v>0</v>
      </c>
      <c r="L43" s="12" cm="1">
        <f t="array" ref="L43">K8</f>
        <v>0</v>
      </c>
      <c r="M43" s="22"/>
      <c r="N43" s="33"/>
      <c r="O43" s="12">
        <v>-1.2740232067514956E-2</v>
      </c>
      <c r="P43" s="12">
        <v>1.2245971029496007E-16</v>
      </c>
      <c r="Q43" s="12">
        <v>0.99991883994995601</v>
      </c>
      <c r="R43" s="12">
        <v>230.80653638715378</v>
      </c>
      <c r="S43" s="7"/>
      <c r="T43" s="8"/>
      <c r="U43" s="8"/>
      <c r="V43" s="8"/>
      <c r="W43" s="6"/>
      <c r="X43" s="35" t="s">
        <v>51</v>
      </c>
      <c r="Y43" s="12" cm="1">
        <f t="array" ref="Y43">COS(AB8)</f>
        <v>-0.99999999570765619</v>
      </c>
      <c r="Z43" s="12" cm="1">
        <f t="array" ref="Z43">-SIN(AB8)*COS(Z8)</f>
        <v>9.2653589660490258E-5</v>
      </c>
      <c r="AA43" s="12" cm="1">
        <f t="array" ref="AA43">SIN(AB8)*SIN(Z8)</f>
        <v>1.134679220072317E-20</v>
      </c>
      <c r="AB43" s="12" cm="1">
        <f t="array" ref="AB43">AA8*COS(AB8)</f>
        <v>0</v>
      </c>
      <c r="AC43" s="22"/>
      <c r="AD43" s="33"/>
      <c r="AE43" s="12">
        <v>0.93522590379319748</v>
      </c>
      <c r="AF43" s="12">
        <v>-8.665203750187469E-5</v>
      </c>
      <c r="AG43" s="12">
        <v>-0.35405155184749815</v>
      </c>
      <c r="AH43" s="12">
        <v>319.96439258575617</v>
      </c>
      <c r="AI43" s="7"/>
      <c r="AJ43" s="8"/>
      <c r="AK43" s="8"/>
      <c r="AL43" s="8"/>
      <c r="AM43" s="8"/>
      <c r="AN43" s="8"/>
      <c r="AO43" s="8"/>
      <c r="AP43" s="8"/>
      <c r="AQ43" s="8"/>
      <c r="AR43" s="8"/>
      <c r="AS43" s="8"/>
    </row>
    <row r="44" spans="1:45" ht="16" customHeight="1">
      <c r="A44" s="8"/>
      <c r="B44" s="8"/>
      <c r="C44" s="8"/>
      <c r="D44" s="8"/>
      <c r="E44" s="8"/>
      <c r="F44" s="8"/>
      <c r="G44" s="6"/>
      <c r="H44" s="36"/>
      <c r="I44" s="12" cm="1">
        <f t="array" ref="I44">SIN(L8)*COS(J8)</f>
        <v>0</v>
      </c>
      <c r="J44" s="12" cm="1">
        <f t="array" ref="J44">COS(L8)*COS(J8)</f>
        <v>6.123233995736766E-17</v>
      </c>
      <c r="K44" s="12" cm="1">
        <f t="array" ref="K44">-SIN(J8)</f>
        <v>1</v>
      </c>
      <c r="L44" s="12" cm="1">
        <f t="array" ref="L44">-M8*SIN(J8)</f>
        <v>0</v>
      </c>
      <c r="M44" s="22"/>
      <c r="N44" s="34"/>
      <c r="O44" s="12">
        <v>0</v>
      </c>
      <c r="P44" s="12">
        <v>0</v>
      </c>
      <c r="Q44" s="12">
        <v>0</v>
      </c>
      <c r="R44" s="12">
        <v>1</v>
      </c>
      <c r="S44" s="7"/>
      <c r="T44" s="8"/>
      <c r="U44" s="8"/>
      <c r="V44" s="8"/>
      <c r="W44" s="6"/>
      <c r="X44" s="36"/>
      <c r="Y44" s="12" cm="1">
        <f t="array" ref="Y44">SIN(AB8)</f>
        <v>9.2653589660490258E-5</v>
      </c>
      <c r="Z44" s="12" cm="1">
        <f t="array" ref="Z44">COS(AB8)*COS(Z8)</f>
        <v>0.99999999570765619</v>
      </c>
      <c r="AA44" s="12" cm="1">
        <f t="array" ref="AA44">-COS(AB8)*SIN(Z8)</f>
        <v>1.224646793890748E-16</v>
      </c>
      <c r="AB44" s="12" cm="1">
        <f t="array" ref="AB44">AA8*SIN(AB8)</f>
        <v>0</v>
      </c>
      <c r="AC44" s="22"/>
      <c r="AD44" s="34"/>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6"/>
      <c r="I45" s="12" cm="1">
        <f t="array" ref="I45">SIN(L8)*SIN(J8)</f>
        <v>0</v>
      </c>
      <c r="J45" s="12" cm="1">
        <f t="array" ref="J45">COS(L8)*SIN(J8)</f>
        <v>-1</v>
      </c>
      <c r="K45" s="12" cm="1">
        <f t="array" ref="K45">COS(J8)</f>
        <v>6.123233995736766E-17</v>
      </c>
      <c r="L45" s="12" cm="1">
        <f t="array" ref="L45">M8*COS(J8)</f>
        <v>0</v>
      </c>
      <c r="M45" s="7"/>
      <c r="N45" s="15"/>
      <c r="O45" s="15"/>
      <c r="P45" s="15"/>
      <c r="Q45" s="15"/>
      <c r="R45" s="15"/>
      <c r="S45" s="8"/>
      <c r="T45" s="8"/>
      <c r="U45" s="8"/>
      <c r="V45" s="8"/>
      <c r="W45" s="6"/>
      <c r="X45" s="36"/>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37"/>
      <c r="C46" s="37"/>
      <c r="D46" s="37"/>
      <c r="E46" s="37"/>
      <c r="F46" s="8"/>
      <c r="G46" s="6"/>
      <c r="H46" s="36"/>
      <c r="I46" s="12">
        <v>0</v>
      </c>
      <c r="J46" s="12">
        <v>0</v>
      </c>
      <c r="K46" s="12">
        <v>0</v>
      </c>
      <c r="L46" s="12">
        <v>1</v>
      </c>
      <c r="M46" s="7"/>
      <c r="N46" s="18"/>
      <c r="O46" s="18"/>
      <c r="P46" s="18"/>
      <c r="Q46" s="18"/>
      <c r="R46" s="18"/>
      <c r="S46" s="8"/>
      <c r="T46" s="8"/>
      <c r="U46" s="8"/>
      <c r="V46" s="8"/>
      <c r="W46" s="6"/>
      <c r="X46" s="36"/>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37"/>
      <c r="C47" s="37"/>
      <c r="D47" s="37"/>
      <c r="E47" s="37"/>
      <c r="F47" s="8"/>
      <c r="G47" s="8"/>
      <c r="H47" s="23"/>
      <c r="I47" s="24"/>
      <c r="J47" s="15"/>
      <c r="K47" s="15"/>
      <c r="L47" s="15"/>
      <c r="M47" s="6"/>
      <c r="N47" s="32" t="s">
        <v>52</v>
      </c>
      <c r="O47" s="12" cm="1">
        <f t="array" ref="O47:R50">MMULT(_xlfn.ANCHORARRAY(O41),I49:L52)</f>
        <v>1</v>
      </c>
      <c r="P47" s="12">
        <v>-1.2323982451605394E-16</v>
      </c>
      <c r="Q47" s="12">
        <v>1.2167959607386625E-16</v>
      </c>
      <c r="R47" s="12">
        <v>2.8962416690160015E-14</v>
      </c>
      <c r="S47" s="7"/>
      <c r="T47" s="8"/>
      <c r="U47" s="8"/>
      <c r="V47" s="8"/>
      <c r="W47" s="8"/>
      <c r="X47" s="23"/>
      <c r="Y47" s="24"/>
      <c r="Z47" s="15"/>
      <c r="AA47" s="15"/>
      <c r="AB47" s="15"/>
      <c r="AC47" s="8"/>
      <c r="AD47" s="38"/>
      <c r="AE47" s="8"/>
      <c r="AF47" s="8"/>
      <c r="AG47" s="8"/>
      <c r="AH47" s="8"/>
      <c r="AI47" s="8"/>
      <c r="AJ47" s="8"/>
      <c r="AK47" s="8"/>
      <c r="AL47" s="8"/>
      <c r="AM47" s="8"/>
      <c r="AN47" s="8"/>
      <c r="AO47" s="8"/>
      <c r="AP47" s="8"/>
      <c r="AQ47" s="8"/>
      <c r="AR47" s="8"/>
      <c r="AS47" s="8"/>
    </row>
    <row r="48" spans="1:45" ht="16" customHeight="1">
      <c r="A48" s="8"/>
      <c r="B48" s="37"/>
      <c r="C48" s="37"/>
      <c r="D48" s="37"/>
      <c r="E48" s="37"/>
      <c r="F48" s="8"/>
      <c r="G48" s="8"/>
      <c r="H48" s="25"/>
      <c r="I48" s="26"/>
      <c r="J48" s="18"/>
      <c r="K48" s="18"/>
      <c r="L48" s="18"/>
      <c r="M48" s="6"/>
      <c r="N48" s="33"/>
      <c r="O48" s="12">
        <v>1.2167959607386623E-16</v>
      </c>
      <c r="P48" s="12">
        <v>0.99991883994995601</v>
      </c>
      <c r="Q48" s="12">
        <v>1.2740232067514956E-2</v>
      </c>
      <c r="R48" s="12">
        <v>244.65626116816583</v>
      </c>
      <c r="S48" s="7"/>
      <c r="T48" s="8"/>
      <c r="U48" s="8"/>
      <c r="V48" s="8"/>
      <c r="W48" s="8"/>
      <c r="X48" s="29"/>
      <c r="Y48" s="8"/>
      <c r="Z48" s="8"/>
      <c r="AA48" s="8"/>
      <c r="AB48" s="8"/>
      <c r="AC48" s="8"/>
      <c r="AD48" s="38"/>
      <c r="AE48" s="8"/>
      <c r="AF48" s="8"/>
      <c r="AG48" s="8"/>
      <c r="AH48" s="8"/>
      <c r="AI48" s="8"/>
      <c r="AJ48" s="8"/>
      <c r="AK48" s="8"/>
      <c r="AL48" s="8"/>
      <c r="AM48" s="8"/>
      <c r="AN48" s="8"/>
      <c r="AO48" s="8"/>
      <c r="AP48" s="8"/>
      <c r="AQ48" s="8"/>
      <c r="AR48" s="8"/>
      <c r="AS48" s="8"/>
    </row>
    <row r="49" spans="1:45" ht="16" customHeight="1">
      <c r="A49" s="8"/>
      <c r="B49" s="37"/>
      <c r="C49" s="37"/>
      <c r="D49" s="37"/>
      <c r="E49" s="37"/>
      <c r="F49" s="8"/>
      <c r="G49" s="6"/>
      <c r="H49" s="35" t="s">
        <v>53</v>
      </c>
      <c r="I49" s="12" cm="1">
        <f t="array" ref="I49">COS(L9)</f>
        <v>6.123233995736766E-17</v>
      </c>
      <c r="J49" s="12" cm="1">
        <f t="array" ref="J49">-SIN(L9)</f>
        <v>1</v>
      </c>
      <c r="K49" s="12">
        <v>0</v>
      </c>
      <c r="L49" s="12" cm="1">
        <f t="array" ref="L49">K9</f>
        <v>0</v>
      </c>
      <c r="M49" s="22"/>
      <c r="N49" s="33"/>
      <c r="O49" s="12">
        <v>-1.2323982451605391E-16</v>
      </c>
      <c r="P49" s="12">
        <v>-1.2740232067514956E-2</v>
      </c>
      <c r="Q49" s="12">
        <v>0.99991883994995601</v>
      </c>
      <c r="R49" s="12">
        <v>330.7984203821494</v>
      </c>
      <c r="S49" s="7"/>
      <c r="T49" s="8"/>
      <c r="U49" s="8"/>
      <c r="V49" s="8"/>
      <c r="W49" s="8"/>
      <c r="X49" s="38"/>
      <c r="Y49" s="8"/>
      <c r="Z49" s="8"/>
      <c r="AA49" s="8"/>
      <c r="AB49" s="8"/>
      <c r="AC49" s="8"/>
      <c r="AD49" s="38"/>
      <c r="AE49" s="8"/>
      <c r="AF49" s="8"/>
      <c r="AG49" s="8"/>
      <c r="AH49" s="8"/>
      <c r="AI49" s="8"/>
      <c r="AJ49" s="8"/>
      <c r="AK49" s="8"/>
      <c r="AL49" s="8"/>
      <c r="AM49" s="8"/>
      <c r="AN49" s="8"/>
      <c r="AO49" s="8"/>
      <c r="AP49" s="8"/>
      <c r="AQ49" s="8"/>
      <c r="AR49" s="8"/>
      <c r="AS49" s="8"/>
    </row>
    <row r="50" spans="1:45" ht="16" customHeight="1">
      <c r="A50" s="8"/>
      <c r="B50" s="37"/>
      <c r="C50" s="37"/>
      <c r="D50" s="37"/>
      <c r="E50" s="37"/>
      <c r="F50" s="8"/>
      <c r="G50" s="6"/>
      <c r="H50" s="36"/>
      <c r="I50" s="12" cm="1">
        <f t="array" ref="I50">SIN(L9)*COS(J9)</f>
        <v>-1</v>
      </c>
      <c r="J50" s="12" cm="1">
        <f t="array" ref="J50">COS(L9)*COS(J9)</f>
        <v>6.123233995736766E-17</v>
      </c>
      <c r="K50" s="12" cm="1">
        <f t="array" ref="K50">-SIN(J9)</f>
        <v>0</v>
      </c>
      <c r="L50" s="12" cm="1">
        <f t="array" ref="L50">-M9*SIN(J9)</f>
        <v>0</v>
      </c>
      <c r="M50" s="22"/>
      <c r="N50" s="34"/>
      <c r="O50" s="12">
        <v>0</v>
      </c>
      <c r="P50" s="12">
        <v>0</v>
      </c>
      <c r="Q50" s="12">
        <v>0</v>
      </c>
      <c r="R50" s="12">
        <v>1</v>
      </c>
      <c r="S50" s="7"/>
      <c r="T50" s="8"/>
      <c r="U50" s="8"/>
      <c r="V50" s="8"/>
      <c r="W50" s="8"/>
      <c r="X50" s="38"/>
      <c r="Y50" s="8"/>
      <c r="Z50" s="8"/>
      <c r="AA50" s="8"/>
      <c r="AB50" s="8"/>
      <c r="AC50" s="8"/>
      <c r="AD50" s="38"/>
      <c r="AE50" s="8"/>
      <c r="AF50" s="8"/>
      <c r="AG50" s="8"/>
      <c r="AH50" s="8"/>
      <c r="AI50" s="8"/>
      <c r="AJ50" s="8"/>
      <c r="AK50" s="8"/>
      <c r="AL50" s="8"/>
      <c r="AM50" s="8"/>
      <c r="AN50" s="8"/>
      <c r="AO50" s="8"/>
      <c r="AP50" s="8"/>
      <c r="AQ50" s="8"/>
      <c r="AR50" s="8"/>
      <c r="AS50" s="8"/>
    </row>
    <row r="51" spans="1:45" ht="16" customHeight="1">
      <c r="A51" s="8"/>
      <c r="B51" s="37"/>
      <c r="C51" s="37"/>
      <c r="D51" s="37"/>
      <c r="E51" s="37"/>
      <c r="F51" s="8"/>
      <c r="G51" s="6"/>
      <c r="H51" s="36"/>
      <c r="I51" s="12" cm="1">
        <f t="array" ref="I51">SIN(L9)*SIN(J9)</f>
        <v>0</v>
      </c>
      <c r="J51" s="12" cm="1">
        <f t="array" ref="J51">COS(L9)*SIN(J9)</f>
        <v>0</v>
      </c>
      <c r="K51" s="12" cm="1">
        <f t="array" ref="K51">COS(J9)</f>
        <v>1</v>
      </c>
      <c r="L51" s="12" cm="1">
        <f t="array" ref="L51">M9*COS(J9)</f>
        <v>100</v>
      </c>
      <c r="M51" s="7"/>
      <c r="N51" s="15"/>
      <c r="O51" s="15"/>
      <c r="P51" s="15"/>
      <c r="Q51" s="15"/>
      <c r="R51" s="15"/>
      <c r="S51" s="8"/>
      <c r="T51" s="8"/>
      <c r="U51" s="8"/>
      <c r="V51" s="8"/>
      <c r="W51" s="8"/>
      <c r="X51" s="38"/>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37"/>
      <c r="C52" s="37"/>
      <c r="D52" s="37"/>
      <c r="E52" s="37"/>
      <c r="F52" s="8"/>
      <c r="G52" s="6"/>
      <c r="H52" s="36"/>
      <c r="I52" s="12">
        <v>0</v>
      </c>
      <c r="J52" s="12">
        <v>0</v>
      </c>
      <c r="K52" s="12">
        <v>0</v>
      </c>
      <c r="L52" s="12">
        <v>1</v>
      </c>
      <c r="M52" s="7"/>
      <c r="N52" s="8"/>
      <c r="O52" s="8"/>
      <c r="P52" s="8"/>
      <c r="Q52" s="8"/>
      <c r="R52" s="8"/>
      <c r="S52" s="8"/>
      <c r="T52" s="8"/>
      <c r="U52" s="8"/>
      <c r="V52" s="8"/>
      <c r="W52" s="8"/>
      <c r="X52" s="38"/>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37"/>
      <c r="C53" s="37"/>
      <c r="D53" s="37"/>
      <c r="E53" s="37"/>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37"/>
      <c r="C54" s="37"/>
      <c r="D54" s="37"/>
      <c r="E54" s="3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B1:F1"/>
    <mergeCell ref="I1:M1"/>
    <mergeCell ref="Y1:AC1"/>
    <mergeCell ref="A12:A18"/>
    <mergeCell ref="H13:H16"/>
    <mergeCell ref="X13:X16"/>
    <mergeCell ref="N16:N19"/>
    <mergeCell ref="AD16:AD19"/>
    <mergeCell ref="H19:H22"/>
    <mergeCell ref="X19:X22"/>
    <mergeCell ref="A21:A26"/>
    <mergeCell ref="N23:N26"/>
    <mergeCell ref="AD23:AD26"/>
    <mergeCell ref="H25:H28"/>
    <mergeCell ref="X25:X28"/>
    <mergeCell ref="N29:N32"/>
    <mergeCell ref="AD29:AD32"/>
    <mergeCell ref="H31:H34"/>
    <mergeCell ref="X31:X34"/>
    <mergeCell ref="N35:N38"/>
    <mergeCell ref="AD35:AD38"/>
    <mergeCell ref="H37:H40"/>
    <mergeCell ref="X37:X40"/>
    <mergeCell ref="N41:N44"/>
    <mergeCell ref="AD41:AD44"/>
    <mergeCell ref="H43:H46"/>
    <mergeCell ref="X43:X46"/>
    <mergeCell ref="B46:E54"/>
    <mergeCell ref="N47:N50"/>
    <mergeCell ref="AD47:AD50"/>
    <mergeCell ref="H49:H52"/>
    <mergeCell ref="X49:X52"/>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4"/>
  <sheetViews>
    <sheetView showGridLines="0" workbookViewId="0"/>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41" t="s">
        <v>6</v>
      </c>
      <c r="C1" s="42"/>
      <c r="D1" s="42"/>
      <c r="E1" s="42"/>
      <c r="F1" s="42"/>
      <c r="G1" s="7"/>
      <c r="H1" s="6"/>
      <c r="I1" s="41" t="s">
        <v>7</v>
      </c>
      <c r="J1" s="42"/>
      <c r="K1" s="42"/>
      <c r="L1" s="42"/>
      <c r="M1" s="42"/>
      <c r="N1" s="7"/>
      <c r="O1" s="8"/>
      <c r="P1" s="8"/>
      <c r="Q1" s="8"/>
      <c r="R1" s="8"/>
      <c r="S1" s="8"/>
      <c r="T1" s="8"/>
      <c r="U1" s="8"/>
      <c r="V1" s="8"/>
      <c r="W1" s="8"/>
      <c r="X1" s="6"/>
      <c r="Y1" s="41" t="s">
        <v>8</v>
      </c>
      <c r="Z1" s="42"/>
      <c r="AA1" s="42"/>
      <c r="AB1" s="42"/>
      <c r="AC1" s="42"/>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0</v>
      </c>
      <c r="D3" s="11">
        <v>0</v>
      </c>
      <c r="E3" s="9" t="s">
        <v>55</v>
      </c>
      <c r="F3" s="11">
        <v>110.5</v>
      </c>
      <c r="G3" s="7"/>
      <c r="H3" s="6"/>
      <c r="I3" s="11">
        <v>1</v>
      </c>
      <c r="J3" s="11" cm="1">
        <f t="array" ref="J3">RADIANS(C3)</f>
        <v>0</v>
      </c>
      <c r="K3" s="11">
        <v>0</v>
      </c>
      <c r="L3" s="11" cm="1">
        <f t="array" ref="L3">D13</f>
        <v>0</v>
      </c>
      <c r="M3" s="11">
        <v>110.5</v>
      </c>
      <c r="N3" s="7"/>
      <c r="O3" s="8"/>
      <c r="P3" s="8"/>
      <c r="Q3" s="8"/>
      <c r="R3" s="8"/>
      <c r="S3" s="8"/>
      <c r="T3" s="8"/>
      <c r="U3" s="8"/>
      <c r="V3" s="8"/>
      <c r="W3" s="8"/>
      <c r="X3" s="6"/>
      <c r="Y3" s="12">
        <v>1</v>
      </c>
      <c r="Z3" s="12" cm="1">
        <f t="array" ref="Z3">-PI()/2</f>
        <v>-1.5707963267948966</v>
      </c>
      <c r="AA3" s="12">
        <v>23.42</v>
      </c>
      <c r="AB3" s="12" cm="1">
        <f t="array" ref="AB3">D13</f>
        <v>0</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-1.5707960000000001</v>
      </c>
      <c r="M4" s="11">
        <v>0</v>
      </c>
      <c r="N4" s="7"/>
      <c r="O4" s="8"/>
      <c r="P4" s="8"/>
      <c r="Q4" s="8"/>
      <c r="R4" s="8"/>
      <c r="S4" s="8"/>
      <c r="T4" s="8"/>
      <c r="U4" s="8"/>
      <c r="V4" s="8"/>
      <c r="W4" s="8"/>
      <c r="X4" s="6"/>
      <c r="Y4" s="12">
        <v>2</v>
      </c>
      <c r="Z4" s="12" cm="1">
        <f t="array" ref="Z4">PI()</f>
        <v>3.1415926535897931</v>
      </c>
      <c r="AA4" s="12">
        <v>180</v>
      </c>
      <c r="AB4" s="12" cm="1">
        <f t="array" ref="AB4">D14-1.570796</f>
        <v>-1.5707960000000001</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0</v>
      </c>
      <c r="M5" s="11">
        <v>0</v>
      </c>
      <c r="N5" s="7"/>
      <c r="O5" s="8"/>
      <c r="P5" s="8"/>
      <c r="Q5" s="8"/>
      <c r="R5" s="8"/>
      <c r="S5" s="8"/>
      <c r="T5" s="8"/>
      <c r="U5" s="8"/>
      <c r="V5" s="8"/>
      <c r="W5" s="8"/>
      <c r="X5" s="6"/>
      <c r="Y5" s="12">
        <v>3</v>
      </c>
      <c r="Z5" s="12" cm="1">
        <f t="array" ref="Z5">PI()/2</f>
        <v>1.5707963267948966</v>
      </c>
      <c r="AA5" s="12">
        <v>-43.5</v>
      </c>
      <c r="AB5" s="12" cm="1">
        <f t="array" ref="AB5">-D15+3.1415</f>
        <v>3.1415000000000002</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0</v>
      </c>
      <c r="M6" s="11">
        <v>176.35</v>
      </c>
      <c r="N6" s="7"/>
      <c r="O6" s="8"/>
      <c r="P6" s="8"/>
      <c r="Q6" s="8"/>
      <c r="R6" s="8"/>
      <c r="S6" s="8"/>
      <c r="T6" s="8"/>
      <c r="U6" s="8"/>
      <c r="V6" s="8"/>
      <c r="W6" s="8"/>
      <c r="X6" s="6"/>
      <c r="Y6" s="12">
        <v>4</v>
      </c>
      <c r="Z6" s="12" cm="1">
        <f t="array" ref="Z6">-PI()/2</f>
        <v>-1.5707963267948966</v>
      </c>
      <c r="AA6" s="13"/>
      <c r="AB6" s="12" cm="1">
        <f t="array" ref="AB6">-D16</f>
        <v>0</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0</v>
      </c>
      <c r="M7" s="11">
        <v>0</v>
      </c>
      <c r="N7" s="7"/>
      <c r="O7" s="8"/>
      <c r="P7" s="8"/>
      <c r="Q7" s="8"/>
      <c r="R7" s="8"/>
      <c r="S7" s="8"/>
      <c r="T7" s="8"/>
      <c r="U7" s="8"/>
      <c r="V7" s="8"/>
      <c r="W7" s="8"/>
      <c r="X7" s="6"/>
      <c r="Y7" s="12">
        <v>5</v>
      </c>
      <c r="Z7" s="12" cm="1">
        <f t="array" ref="Z7">PI()/2</f>
        <v>1.5707963267948966</v>
      </c>
      <c r="AA7" s="12">
        <v>0</v>
      </c>
      <c r="AB7" s="12" cm="1">
        <f t="array" ref="AB7">-D17</f>
        <v>0</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0</v>
      </c>
      <c r="M8" s="11">
        <v>0</v>
      </c>
      <c r="N8" s="7"/>
      <c r="O8" s="8"/>
      <c r="P8" s="8"/>
      <c r="Q8" s="8"/>
      <c r="R8" s="8"/>
      <c r="S8" s="8"/>
      <c r="T8" s="8"/>
      <c r="U8" s="8"/>
      <c r="V8" s="8"/>
      <c r="W8" s="8"/>
      <c r="X8" s="6"/>
      <c r="Y8" s="12">
        <v>6</v>
      </c>
      <c r="Z8" s="12" cm="1">
        <f t="array" ref="Z8">PI()</f>
        <v>3.1415926535897931</v>
      </c>
      <c r="AA8" s="12" cm="1">
        <f t="array" ref="AA8">-A7</f>
        <v>0</v>
      </c>
      <c r="AB8" s="12" cm="1">
        <f t="array" ref="AB8">D18+3.1415</f>
        <v>3.1415000000000002</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100</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43"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44"/>
      <c r="B13" s="19" t="s">
        <v>26</v>
      </c>
      <c r="C13" s="20">
        <v>0</v>
      </c>
      <c r="D13" s="21" cm="1">
        <f t="array" ref="D13">RADIANS(C13)</f>
        <v>0</v>
      </c>
      <c r="E13" s="8"/>
      <c r="F13" s="8"/>
      <c r="G13" s="6"/>
      <c r="H13" s="35" t="s">
        <v>27</v>
      </c>
      <c r="I13" s="12" cm="1">
        <f t="array" ref="I13">COS(L3)</f>
        <v>1</v>
      </c>
      <c r="J13" s="12" cm="1">
        <f t="array" ref="J13">-SIN(L3)</f>
        <v>0</v>
      </c>
      <c r="K13" s="12">
        <v>0</v>
      </c>
      <c r="L13" s="12" cm="1">
        <f t="array" ref="L13">K3</f>
        <v>0</v>
      </c>
      <c r="M13" s="7"/>
      <c r="N13" s="8"/>
      <c r="O13" s="8"/>
      <c r="P13" s="8"/>
      <c r="Q13" s="8"/>
      <c r="R13" s="8"/>
      <c r="S13" s="8"/>
      <c r="T13" s="8"/>
      <c r="U13" s="8"/>
      <c r="V13" s="8"/>
      <c r="W13" s="6"/>
      <c r="X13" s="35" t="s">
        <v>27</v>
      </c>
      <c r="Y13" s="12" cm="1">
        <f t="array" ref="Y13">COS(AB3)</f>
        <v>1</v>
      </c>
      <c r="Z13" s="12" cm="1">
        <f t="array" ref="Z13">-SIN(AB3)*COS(Z3)</f>
        <v>0</v>
      </c>
      <c r="AA13" s="12" cm="1">
        <f t="array" ref="AA13">SIN(AB3)*SIN(Z3)</f>
        <v>0</v>
      </c>
      <c r="AB13" s="12" cm="1">
        <f t="array" ref="AB13">AA3*COS(AB3)</f>
        <v>23.42</v>
      </c>
      <c r="AC13" s="7"/>
      <c r="AD13" s="8"/>
      <c r="AE13" s="8"/>
      <c r="AF13" s="8"/>
      <c r="AG13" s="8"/>
      <c r="AH13" s="8"/>
      <c r="AI13" s="8"/>
      <c r="AJ13" s="8"/>
      <c r="AK13" s="8"/>
      <c r="AL13" s="8"/>
      <c r="AM13" s="8"/>
      <c r="AN13" s="8"/>
      <c r="AO13" s="8"/>
      <c r="AP13" s="8"/>
      <c r="AQ13" s="8"/>
      <c r="AR13" s="8"/>
      <c r="AS13" s="8"/>
    </row>
    <row r="14" spans="1:45" ht="16" customHeight="1">
      <c r="A14" s="44"/>
      <c r="B14" s="19" t="s">
        <v>28</v>
      </c>
      <c r="C14" s="20">
        <v>0</v>
      </c>
      <c r="D14" s="21" cm="1">
        <f t="array" ref="D14">RADIANS(C14)</f>
        <v>0</v>
      </c>
      <c r="E14" s="8"/>
      <c r="F14" s="8"/>
      <c r="G14" s="6"/>
      <c r="H14" s="36"/>
      <c r="I14" s="12" cm="1">
        <f t="array" ref="I14">SIN(L3)*COS(J3)</f>
        <v>0</v>
      </c>
      <c r="J14" s="12" cm="1">
        <f t="array" ref="J14">COS(L3)*COS(J3)</f>
        <v>1</v>
      </c>
      <c r="K14" s="12" cm="1">
        <f t="array" ref="K14">-SIN(J3)</f>
        <v>0</v>
      </c>
      <c r="L14" s="12" cm="1">
        <f t="array" ref="L14">-M3*SIN(J3)</f>
        <v>0</v>
      </c>
      <c r="M14" s="7"/>
      <c r="N14" s="8"/>
      <c r="O14" s="8"/>
      <c r="P14" s="8"/>
      <c r="Q14" s="8"/>
      <c r="R14" s="8"/>
      <c r="S14" s="8"/>
      <c r="T14" s="8"/>
      <c r="U14" s="8"/>
      <c r="V14" s="8"/>
      <c r="W14" s="6"/>
      <c r="X14" s="36"/>
      <c r="Y14" s="12" cm="1">
        <f t="array" ref="Y14">SIN(AB3)</f>
        <v>0</v>
      </c>
      <c r="Z14" s="12" cm="1">
        <f t="array" ref="Z14">COS(AB3)*COS(Z3)</f>
        <v>6.123233995736766E-17</v>
      </c>
      <c r="AA14" s="12" cm="1">
        <f t="array" ref="AA14">-COS(AB3)*SIN(Z3)</f>
        <v>1</v>
      </c>
      <c r="AB14" s="12" cm="1">
        <f t="array" ref="AB14">AA3*SIN(AB3)</f>
        <v>0</v>
      </c>
      <c r="AC14" s="7"/>
      <c r="AD14" s="8"/>
      <c r="AE14" s="8"/>
      <c r="AF14" s="8"/>
      <c r="AG14" s="8"/>
      <c r="AH14" s="8"/>
      <c r="AI14" s="8"/>
      <c r="AJ14" s="8"/>
      <c r="AK14" s="8"/>
      <c r="AL14" s="8"/>
      <c r="AM14" s="8"/>
      <c r="AN14" s="8"/>
      <c r="AO14" s="8"/>
      <c r="AP14" s="8"/>
      <c r="AQ14" s="8"/>
      <c r="AR14" s="8"/>
      <c r="AS14" s="8"/>
    </row>
    <row r="15" spans="1:45" ht="16" customHeight="1">
      <c r="A15" s="44"/>
      <c r="B15" s="19" t="s">
        <v>29</v>
      </c>
      <c r="C15" s="20">
        <v>0</v>
      </c>
      <c r="D15" s="21" cm="1">
        <f t="array" ref="D15">RADIANS(C15)</f>
        <v>0</v>
      </c>
      <c r="E15" s="8"/>
      <c r="F15" s="8"/>
      <c r="G15" s="6"/>
      <c r="H15" s="36"/>
      <c r="I15" s="12" cm="1">
        <f t="array" ref="I15">SIN(L3)*SIN(J3)</f>
        <v>0</v>
      </c>
      <c r="J15" s="12" cm="1">
        <f t="array" ref="J15">COS(L3)*SIN(J3)</f>
        <v>0</v>
      </c>
      <c r="K15" s="12" cm="1">
        <f t="array" ref="K15">COS(J3)</f>
        <v>1</v>
      </c>
      <c r="L15" s="12" cm="1">
        <f t="array" ref="L15">M3*COS(J3)</f>
        <v>110.5</v>
      </c>
      <c r="M15" s="7"/>
      <c r="N15" s="18"/>
      <c r="O15" s="18"/>
      <c r="P15" s="18"/>
      <c r="Q15" s="18"/>
      <c r="R15" s="18"/>
      <c r="S15" s="8"/>
      <c r="T15" s="8"/>
      <c r="U15" s="8"/>
      <c r="V15" s="8"/>
      <c r="W15" s="6"/>
      <c r="X15" s="36"/>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44"/>
      <c r="B16" s="19" t="s">
        <v>30</v>
      </c>
      <c r="C16" s="20">
        <v>0</v>
      </c>
      <c r="D16" s="21" cm="1">
        <f t="array" ref="D16">RADIANS(C16)</f>
        <v>0</v>
      </c>
      <c r="E16" s="8"/>
      <c r="F16" s="8"/>
      <c r="G16" s="6"/>
      <c r="H16" s="36"/>
      <c r="I16" s="12">
        <v>0</v>
      </c>
      <c r="J16" s="12">
        <v>0</v>
      </c>
      <c r="K16" s="12">
        <v>0</v>
      </c>
      <c r="L16" s="12">
        <v>1</v>
      </c>
      <c r="M16" s="22"/>
      <c r="N16" s="32" t="s">
        <v>31</v>
      </c>
      <c r="O16" s="12" cm="1">
        <f t="array" ref="O16:R19">MMULT(I13:L16,I19:L22)</f>
        <v>3.2679489653813835E-7</v>
      </c>
      <c r="P16" s="12">
        <v>0.9999999999999466</v>
      </c>
      <c r="Q16" s="12">
        <v>0</v>
      </c>
      <c r="R16" s="12">
        <v>23.42</v>
      </c>
      <c r="S16" s="7"/>
      <c r="T16" s="8"/>
      <c r="U16" s="8"/>
      <c r="V16" s="8"/>
      <c r="W16" s="6"/>
      <c r="X16" s="36"/>
      <c r="Y16" s="12">
        <v>0</v>
      </c>
      <c r="Z16" s="12">
        <v>0</v>
      </c>
      <c r="AA16" s="12">
        <v>0</v>
      </c>
      <c r="AB16" s="12">
        <v>1</v>
      </c>
      <c r="AC16" s="22"/>
      <c r="AD16" s="32" t="s">
        <v>31</v>
      </c>
      <c r="AE16" s="12" cm="1">
        <f t="array" ref="AE16:AH19">MMULT(Y13:AB16,Y19:AB22)</f>
        <v>3.2679489653813835E-7</v>
      </c>
      <c r="AF16" s="12">
        <v>-0.9999999999999466</v>
      </c>
      <c r="AG16" s="12">
        <v>-1.2246467991472879E-16</v>
      </c>
      <c r="AH16" s="12">
        <v>23.42005882308138</v>
      </c>
      <c r="AI16" s="7"/>
      <c r="AJ16" s="8"/>
      <c r="AK16" s="8"/>
      <c r="AL16" s="8"/>
      <c r="AM16" s="8"/>
      <c r="AN16" s="8"/>
      <c r="AO16" s="8"/>
      <c r="AP16" s="8"/>
      <c r="AQ16" s="8"/>
      <c r="AR16" s="8"/>
      <c r="AS16" s="8"/>
    </row>
    <row r="17" spans="1:45" ht="16" customHeight="1">
      <c r="A17" s="44"/>
      <c r="B17" s="19" t="s">
        <v>32</v>
      </c>
      <c r="C17" s="20">
        <v>0</v>
      </c>
      <c r="D17" s="21" cm="1">
        <f t="array" ref="D17">RADIANS(C17)</f>
        <v>0</v>
      </c>
      <c r="E17" s="8"/>
      <c r="F17" s="8"/>
      <c r="G17" s="8"/>
      <c r="H17" s="23"/>
      <c r="I17" s="24"/>
      <c r="J17" s="15"/>
      <c r="K17" s="15"/>
      <c r="L17" s="15"/>
      <c r="M17" s="6"/>
      <c r="N17" s="33"/>
      <c r="O17" s="12">
        <v>-6.1232339957364394E-17</v>
      </c>
      <c r="P17" s="12">
        <v>2.0010416201156081E-23</v>
      </c>
      <c r="Q17" s="12">
        <v>1</v>
      </c>
      <c r="R17" s="12">
        <v>0</v>
      </c>
      <c r="S17" s="7"/>
      <c r="T17" s="8"/>
      <c r="U17" s="8"/>
      <c r="V17" s="8"/>
      <c r="W17" s="8"/>
      <c r="X17" s="23"/>
      <c r="Y17" s="24"/>
      <c r="Z17" s="15"/>
      <c r="AA17" s="15"/>
      <c r="AB17" s="15"/>
      <c r="AC17" s="6"/>
      <c r="AD17" s="33"/>
      <c r="AE17" s="12">
        <v>-6.1232339957364394E-17</v>
      </c>
      <c r="AF17" s="12">
        <v>1.2246465990431913E-16</v>
      </c>
      <c r="AG17" s="12">
        <v>-1</v>
      </c>
      <c r="AH17" s="12">
        <v>-1.1021821192325591E-14</v>
      </c>
      <c r="AI17" s="7"/>
      <c r="AJ17" s="8"/>
      <c r="AK17" s="8"/>
      <c r="AL17" s="8"/>
      <c r="AM17" s="8"/>
      <c r="AN17" s="8"/>
      <c r="AO17" s="8"/>
      <c r="AP17" s="8"/>
      <c r="AQ17" s="8"/>
      <c r="AR17" s="8"/>
      <c r="AS17" s="8"/>
    </row>
    <row r="18" spans="1:45" ht="16" customHeight="1">
      <c r="A18" s="44"/>
      <c r="B18" s="19" t="s">
        <v>33</v>
      </c>
      <c r="C18" s="20">
        <v>0</v>
      </c>
      <c r="D18" s="21" cm="1">
        <f t="array" ref="D18">RADIANS(C18)</f>
        <v>0</v>
      </c>
      <c r="E18" s="8"/>
      <c r="F18" s="8"/>
      <c r="G18" s="8"/>
      <c r="H18" s="25"/>
      <c r="I18" s="26"/>
      <c r="J18" s="18"/>
      <c r="K18" s="18"/>
      <c r="L18" s="18"/>
      <c r="M18" s="6"/>
      <c r="N18" s="33"/>
      <c r="O18" s="12">
        <v>0.9999999999999466</v>
      </c>
      <c r="P18" s="12">
        <v>-3.2679489653813835E-7</v>
      </c>
      <c r="Q18" s="12">
        <v>6.123233995736766E-17</v>
      </c>
      <c r="R18" s="12">
        <v>110.5</v>
      </c>
      <c r="S18" s="7"/>
      <c r="T18" s="8"/>
      <c r="U18" s="8"/>
      <c r="V18" s="8"/>
      <c r="W18" s="8"/>
      <c r="X18" s="25"/>
      <c r="Y18" s="26"/>
      <c r="Z18" s="18"/>
      <c r="AA18" s="18"/>
      <c r="AB18" s="18"/>
      <c r="AC18" s="6"/>
      <c r="AD18" s="33"/>
      <c r="AE18" s="12">
        <v>0.9999999999999466</v>
      </c>
      <c r="AF18" s="12">
        <v>3.2679489653813835E-7</v>
      </c>
      <c r="AG18" s="12">
        <v>-6.1232299936535256E-17</v>
      </c>
      <c r="AH18" s="12">
        <v>290.49999999999039</v>
      </c>
      <c r="AI18" s="7"/>
      <c r="AJ18" s="8"/>
      <c r="AK18" s="8"/>
      <c r="AL18" s="8"/>
      <c r="AM18" s="8"/>
      <c r="AN18" s="8"/>
      <c r="AO18" s="8"/>
      <c r="AP18" s="8"/>
      <c r="AQ18" s="8"/>
      <c r="AR18" s="8"/>
      <c r="AS18" s="8"/>
    </row>
    <row r="19" spans="1:45" ht="16" customHeight="1">
      <c r="A19" s="8"/>
      <c r="B19" s="8"/>
      <c r="C19" s="15"/>
      <c r="D19" s="8"/>
      <c r="E19" s="8"/>
      <c r="F19" s="8"/>
      <c r="G19" s="6"/>
      <c r="H19" s="35" t="s">
        <v>34</v>
      </c>
      <c r="I19" s="12" cm="1">
        <f t="array" ref="I19">COS(L4)</f>
        <v>3.2679489653813835E-7</v>
      </c>
      <c r="J19" s="12" cm="1">
        <f t="array" ref="J19">-SIN(L4)</f>
        <v>0.9999999999999466</v>
      </c>
      <c r="K19" s="12">
        <v>0</v>
      </c>
      <c r="L19" s="12" cm="1">
        <f t="array" ref="L19">K4</f>
        <v>23.42</v>
      </c>
      <c r="M19" s="22"/>
      <c r="N19" s="34"/>
      <c r="O19" s="12">
        <v>0</v>
      </c>
      <c r="P19" s="12">
        <v>0</v>
      </c>
      <c r="Q19" s="12">
        <v>0</v>
      </c>
      <c r="R19" s="12">
        <v>1</v>
      </c>
      <c r="S19" s="7"/>
      <c r="T19" s="8"/>
      <c r="U19" s="8"/>
      <c r="V19" s="8"/>
      <c r="W19" s="6"/>
      <c r="X19" s="35" t="s">
        <v>34</v>
      </c>
      <c r="Y19" s="12" cm="1">
        <f t="array" ref="Y19">COS(AB4)</f>
        <v>3.2679489653813835E-7</v>
      </c>
      <c r="Z19" s="12" cm="1">
        <f t="array" ref="Z19">-SIN(AB4)*COS(Z4)</f>
        <v>-0.9999999999999466</v>
      </c>
      <c r="AA19" s="12" cm="1">
        <f t="array" ref="AA19">SIN(AB4)*SIN(Z4)</f>
        <v>-1.2246467991472879E-16</v>
      </c>
      <c r="AB19" s="12" cm="1">
        <f t="array" ref="AB19">AA4*COS(AB4)</f>
        <v>5.8823081376864905E-5</v>
      </c>
      <c r="AC19" s="22"/>
      <c r="AD19" s="34"/>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6"/>
      <c r="I20" s="12" cm="1">
        <f t="array" ref="I20">SIN(L4)*COS(J4)</f>
        <v>-6.1232339957364394E-17</v>
      </c>
      <c r="J20" s="12" cm="1">
        <f t="array" ref="J20">COS(L4)*COS(J4)</f>
        <v>2.0010416201156081E-23</v>
      </c>
      <c r="K20" s="12" cm="1">
        <f t="array" ref="K20">-SIN(J4)</f>
        <v>1</v>
      </c>
      <c r="L20" s="12" cm="1">
        <f t="array" ref="L20">-M4*SIN(J4)</f>
        <v>0</v>
      </c>
      <c r="M20" s="7"/>
      <c r="N20" s="15"/>
      <c r="O20" s="15"/>
      <c r="P20" s="15"/>
      <c r="Q20" s="15"/>
      <c r="R20" s="15"/>
      <c r="S20" s="8"/>
      <c r="T20" s="8"/>
      <c r="U20" s="8"/>
      <c r="V20" s="8"/>
      <c r="W20" s="6"/>
      <c r="X20" s="36"/>
      <c r="Y20" s="12" cm="1">
        <f t="array" ref="Y20">SIN(AB4)</f>
        <v>-0.9999999999999466</v>
      </c>
      <c r="Z20" s="12" cm="1">
        <f t="array" ref="Z20">COS(AB4)*COS(Z4)</f>
        <v>-3.2679489653813835E-7</v>
      </c>
      <c r="AA20" s="12" cm="1">
        <f t="array" ref="AA20">-COS(AB4)*SIN(Z4)</f>
        <v>-4.0020832402312161E-23</v>
      </c>
      <c r="AB20" s="12" cm="1">
        <f t="array" ref="AB20">AA4*SIN(AB4)</f>
        <v>-179.99999999999039</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299.77007303864463</v>
      </c>
      <c r="D21" s="28" cm="1">
        <f t="array" ref="D21">AH41</f>
        <v>299.77410227523808</v>
      </c>
      <c r="E21" s="28" cm="1">
        <f t="array" ref="E21">IF(ABS(C21-D21)&lt;0.1,1,0)</f>
        <v>1</v>
      </c>
      <c r="F21" s="8"/>
      <c r="G21" s="6"/>
      <c r="H21" s="36"/>
      <c r="I21" s="12" cm="1">
        <f t="array" ref="I21">SIN(L4)*SIN(J4)</f>
        <v>0.9999999999999466</v>
      </c>
      <c r="J21" s="12" cm="1">
        <f t="array" ref="J21">COS(L4)*SIN(J4)</f>
        <v>-3.2679489653813835E-7</v>
      </c>
      <c r="K21" s="12" cm="1">
        <f t="array" ref="K21">COS(J4)</f>
        <v>6.123233995736766E-17</v>
      </c>
      <c r="L21" s="12" cm="1">
        <f t="array" ref="L21">M4*COS(J4)</f>
        <v>0</v>
      </c>
      <c r="M21" s="7"/>
      <c r="N21" s="8"/>
      <c r="O21" s="8"/>
      <c r="P21" s="8"/>
      <c r="Q21" s="8"/>
      <c r="R21" s="8"/>
      <c r="S21" s="8"/>
      <c r="T21" s="8"/>
      <c r="U21" s="8"/>
      <c r="V21" s="8"/>
      <c r="W21" s="6"/>
      <c r="X21" s="36"/>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3.2361346966261278E-15</v>
      </c>
      <c r="D22" s="28" cm="1">
        <f t="array" ref="D22">AH42</f>
        <v>-3.0605905183479354E-14</v>
      </c>
      <c r="E22" s="28" cm="1">
        <f t="array" ref="E22">IF(ABS(C22-D22)&lt;0.1,1,0)</f>
        <v>1</v>
      </c>
      <c r="F22" s="8"/>
      <c r="G22" s="6"/>
      <c r="H22" s="36"/>
      <c r="I22" s="12">
        <v>0</v>
      </c>
      <c r="J22" s="12">
        <v>0</v>
      </c>
      <c r="K22" s="12">
        <v>0</v>
      </c>
      <c r="L22" s="12">
        <v>1</v>
      </c>
      <c r="M22" s="7"/>
      <c r="N22" s="18"/>
      <c r="O22" s="18"/>
      <c r="P22" s="18"/>
      <c r="Q22" s="18"/>
      <c r="R22" s="18"/>
      <c r="S22" s="8"/>
      <c r="T22" s="8"/>
      <c r="U22" s="8"/>
      <c r="V22" s="8"/>
      <c r="W22" s="6"/>
      <c r="X22" s="36"/>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333.99990969021837</v>
      </c>
      <c r="D23" s="28" cm="1">
        <f t="array" ref="D23">AH43</f>
        <v>333.97430468268209</v>
      </c>
      <c r="E23" s="28" cm="1">
        <f t="array" ref="E23">IF(ABS(C23-D23)&lt;0.1,1,0)</f>
        <v>1</v>
      </c>
      <c r="F23" s="8"/>
      <c r="G23" s="8"/>
      <c r="H23" s="23"/>
      <c r="I23" s="24"/>
      <c r="J23" s="15"/>
      <c r="K23" s="15"/>
      <c r="L23" s="15"/>
      <c r="M23" s="6"/>
      <c r="N23" s="32" t="s">
        <v>41</v>
      </c>
      <c r="O23" s="12" cm="1">
        <f t="array" ref="O23:R26">MMULT(_xlfn.ANCHORARRAY(O16),I25:L28)</f>
        <v>3.2679489653813835E-7</v>
      </c>
      <c r="P23" s="12">
        <v>0.9999999999999466</v>
      </c>
      <c r="Q23" s="12">
        <v>0</v>
      </c>
      <c r="R23" s="12">
        <v>23.42005882308138</v>
      </c>
      <c r="S23" s="7"/>
      <c r="T23" s="8"/>
      <c r="U23" s="8"/>
      <c r="V23" s="8"/>
      <c r="W23" s="8"/>
      <c r="X23" s="23"/>
      <c r="Y23" s="24"/>
      <c r="Z23" s="15"/>
      <c r="AA23" s="15"/>
      <c r="AB23" s="15"/>
      <c r="AC23" s="6"/>
      <c r="AD23" s="32" t="s">
        <v>41</v>
      </c>
      <c r="AE23" s="12" cm="1">
        <f t="array" ref="AE23:AH26">MMULT(_xlfn.ANCHORARRAY(AE16),Y25:AB28)</f>
        <v>-9.298038455562074E-5</v>
      </c>
      <c r="AF23" s="12">
        <v>-6.1232340222048687E-17</v>
      </c>
      <c r="AG23" s="12">
        <v>-0.99999999567732412</v>
      </c>
      <c r="AH23" s="12">
        <v>23.424103469809548</v>
      </c>
      <c r="AI23" s="7"/>
      <c r="AJ23" s="8"/>
      <c r="AK23" s="8"/>
      <c r="AL23" s="8"/>
      <c r="AM23" s="8"/>
      <c r="AN23" s="8"/>
      <c r="AO23" s="8"/>
      <c r="AP23" s="8"/>
      <c r="AQ23" s="8"/>
      <c r="AR23" s="8"/>
      <c r="AS23" s="8"/>
    </row>
    <row r="24" spans="1:45" ht="16" customHeight="1">
      <c r="A24" s="40"/>
      <c r="B24" s="16" t="s">
        <v>42</v>
      </c>
      <c r="C24" s="8"/>
      <c r="D24" s="28" cm="1">
        <f t="array" ref="D24">DEGREES(F24)</f>
        <v>-44.899135240928473</v>
      </c>
      <c r="E24" s="8"/>
      <c r="F24" s="28" cm="1">
        <f t="array" ref="F24">ATAN2(AE41/COS(F25),AE42/COS(F25))</f>
        <v>-0.78363774125241936</v>
      </c>
      <c r="G24" s="8"/>
      <c r="H24" s="25"/>
      <c r="I24" s="26"/>
      <c r="J24" s="18"/>
      <c r="K24" s="18"/>
      <c r="L24" s="18"/>
      <c r="M24" s="6"/>
      <c r="N24" s="33"/>
      <c r="O24" s="12">
        <v>-6.1232339957364394E-17</v>
      </c>
      <c r="P24" s="12">
        <v>2.0010416201156081E-23</v>
      </c>
      <c r="Q24" s="12">
        <v>1</v>
      </c>
      <c r="R24" s="12">
        <v>-1.1021821192325591E-14</v>
      </c>
      <c r="S24" s="7"/>
      <c r="T24" s="8"/>
      <c r="U24" s="8"/>
      <c r="V24" s="8"/>
      <c r="W24" s="8"/>
      <c r="X24" s="25"/>
      <c r="Y24" s="26"/>
      <c r="Z24" s="18"/>
      <c r="AA24" s="18"/>
      <c r="AB24" s="18"/>
      <c r="AC24" s="6"/>
      <c r="AD24" s="33"/>
      <c r="AE24" s="12">
        <v>6.124368648488082E-17</v>
      </c>
      <c r="AF24" s="12">
        <v>-1</v>
      </c>
      <c r="AG24" s="12">
        <v>6.1226646025190676E-17</v>
      </c>
      <c r="AH24" s="12">
        <v>-1.3685921554417907E-14</v>
      </c>
      <c r="AI24" s="7"/>
      <c r="AJ24" s="8"/>
      <c r="AK24" s="8"/>
      <c r="AL24" s="8"/>
      <c r="AM24" s="8"/>
      <c r="AN24" s="8"/>
      <c r="AO24" s="8"/>
      <c r="AP24" s="8"/>
      <c r="AQ24" s="8"/>
      <c r="AR24" s="8"/>
      <c r="AS24" s="8"/>
    </row>
    <row r="25" spans="1:45" ht="16" customHeight="1">
      <c r="A25" s="40"/>
      <c r="B25" s="16" t="s">
        <v>43</v>
      </c>
      <c r="C25" s="8"/>
      <c r="D25" s="28" cm="1">
        <f t="array" ref="D25">DEGREES(F25)</f>
        <v>-89.99247917002883</v>
      </c>
      <c r="E25" s="8"/>
      <c r="F25" s="28" cm="1">
        <f t="array" ref="F25">ATAN2((AF43^2+AG43^2)^0.5,-AE43)</f>
        <v>-1.570665063549417</v>
      </c>
      <c r="G25" s="6"/>
      <c r="H25" s="35" t="s">
        <v>44</v>
      </c>
      <c r="I25" s="12" cm="1">
        <f t="array" ref="I25">COS(L5)</f>
        <v>1</v>
      </c>
      <c r="J25" s="12" cm="1">
        <f t="array" ref="J25">-SIN(L5)</f>
        <v>0</v>
      </c>
      <c r="K25" s="12">
        <v>0</v>
      </c>
      <c r="L25" s="12" cm="1">
        <f t="array" ref="L25">K5</f>
        <v>180</v>
      </c>
      <c r="M25" s="22"/>
      <c r="N25" s="33"/>
      <c r="O25" s="12">
        <v>0.9999999999999466</v>
      </c>
      <c r="P25" s="12">
        <v>-3.2679489653813835E-7</v>
      </c>
      <c r="Q25" s="12">
        <v>6.123233995736766E-17</v>
      </c>
      <c r="R25" s="12">
        <v>290.49999999999039</v>
      </c>
      <c r="S25" s="7"/>
      <c r="T25" s="8"/>
      <c r="U25" s="8"/>
      <c r="V25" s="8"/>
      <c r="W25" s="6"/>
      <c r="X25" s="35" t="s">
        <v>44</v>
      </c>
      <c r="Y25" s="12" cm="1">
        <f t="array" ref="Y25">COS(AB5)</f>
        <v>-0.99999999570765619</v>
      </c>
      <c r="Z25" s="12" cm="1">
        <f t="array" ref="Z25">-SIN(AB5)*COS(Z5)</f>
        <v>-5.673396100361585E-21</v>
      </c>
      <c r="AA25" s="12" cm="1">
        <f t="array" ref="AA25">SIN(AB5)*SIN(Z5)</f>
        <v>9.2653589660490258E-5</v>
      </c>
      <c r="AB25" s="12" cm="1">
        <f t="array" ref="AB25">AA5*COS(AB5)</f>
        <v>43.499999813283047</v>
      </c>
      <c r="AC25" s="22"/>
      <c r="AD25" s="33"/>
      <c r="AE25" s="12">
        <v>-0.99999999567732412</v>
      </c>
      <c r="AF25" s="12">
        <v>-6.1237993343051731E-17</v>
      </c>
      <c r="AG25" s="12">
        <v>9.298038455562074E-5</v>
      </c>
      <c r="AH25" s="12">
        <v>333.99999981195401</v>
      </c>
      <c r="AI25" s="7"/>
      <c r="AJ25" s="8"/>
      <c r="AK25" s="8"/>
      <c r="AL25" s="8"/>
      <c r="AM25" s="8"/>
      <c r="AN25" s="8"/>
      <c r="AO25" s="8"/>
      <c r="AP25" s="8"/>
      <c r="AQ25" s="8"/>
      <c r="AR25" s="8"/>
      <c r="AS25" s="8"/>
    </row>
    <row r="26" spans="1:45" ht="16" customHeight="1">
      <c r="A26" s="40"/>
      <c r="B26" s="16" t="s">
        <v>45</v>
      </c>
      <c r="C26" s="8"/>
      <c r="D26" s="28" cm="1">
        <f t="array" ref="D26">DEGREES(F26)</f>
        <v>90.005308659651888</v>
      </c>
      <c r="E26" s="8"/>
      <c r="F26" s="28" cm="1">
        <f t="array" ref="F26">ATAN2(AF43/COS(F25),AE43/COS(F25))</f>
        <v>1.5708889803846897</v>
      </c>
      <c r="G26" s="6"/>
      <c r="H26" s="36"/>
      <c r="I26" s="12" cm="1">
        <f t="array" ref="I26">SIN(L5)*COS(J5)</f>
        <v>0</v>
      </c>
      <c r="J26" s="12" cm="1">
        <f t="array" ref="J26">COS(L5)*COS(J5)</f>
        <v>1</v>
      </c>
      <c r="K26" s="12" cm="1">
        <f t="array" ref="K26">-SIN(J5)</f>
        <v>0</v>
      </c>
      <c r="L26" s="12" cm="1">
        <f t="array" ref="L26">-M5*SIN(J5)</f>
        <v>0</v>
      </c>
      <c r="M26" s="22"/>
      <c r="N26" s="34"/>
      <c r="O26" s="12">
        <v>0</v>
      </c>
      <c r="P26" s="12">
        <v>0</v>
      </c>
      <c r="Q26" s="12">
        <v>0</v>
      </c>
      <c r="R26" s="12">
        <v>1</v>
      </c>
      <c r="S26" s="7"/>
      <c r="T26" s="8"/>
      <c r="U26" s="8"/>
      <c r="V26" s="8"/>
      <c r="W26" s="6"/>
      <c r="X26" s="36"/>
      <c r="Y26" s="12" cm="1">
        <f t="array" ref="Y26">SIN(AB5)</f>
        <v>9.2653589660490258E-5</v>
      </c>
      <c r="Z26" s="12" cm="1">
        <f t="array" ref="Z26">COS(AB5)*COS(Z5)</f>
        <v>-6.12323396945374E-17</v>
      </c>
      <c r="AA26" s="12" cm="1">
        <f t="array" ref="AA26">-COS(AB5)*SIN(Z5)</f>
        <v>0.99999999570765619</v>
      </c>
      <c r="AB26" s="12" cm="1">
        <f t="array" ref="AB26">AA5*SIN(AB5)</f>
        <v>-4.0304311502313266E-3</v>
      </c>
      <c r="AC26" s="22"/>
      <c r="AD26" s="34"/>
      <c r="AE26" s="12">
        <v>0</v>
      </c>
      <c r="AF26" s="12">
        <v>0</v>
      </c>
      <c r="AG26" s="12">
        <v>0</v>
      </c>
      <c r="AH26" s="12">
        <v>1</v>
      </c>
      <c r="AI26" s="7"/>
      <c r="AJ26" s="8"/>
      <c r="AK26" s="8"/>
      <c r="AL26" s="8"/>
      <c r="AM26" s="8"/>
      <c r="AN26" s="8"/>
      <c r="AO26" s="8"/>
      <c r="AP26" s="8"/>
      <c r="AQ26" s="8"/>
      <c r="AR26" s="8"/>
      <c r="AS26" s="8"/>
    </row>
    <row r="27" spans="1:45" ht="16" customHeight="1">
      <c r="A27" s="8"/>
      <c r="B27" s="8"/>
      <c r="C27" s="8"/>
      <c r="D27" s="8"/>
      <c r="E27" s="8"/>
      <c r="F27" s="8"/>
      <c r="G27" s="6"/>
      <c r="H27" s="36"/>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6"/>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c r="C28" s="8"/>
      <c r="D28" s="8"/>
      <c r="E28" s="8"/>
      <c r="F28" s="8"/>
      <c r="G28" s="6"/>
      <c r="H28" s="36"/>
      <c r="I28" s="12">
        <v>0</v>
      </c>
      <c r="J28" s="12">
        <v>0</v>
      </c>
      <c r="K28" s="12">
        <v>0</v>
      </c>
      <c r="L28" s="12">
        <v>1</v>
      </c>
      <c r="M28" s="7"/>
      <c r="N28" s="18"/>
      <c r="O28" s="18"/>
      <c r="P28" s="18"/>
      <c r="Q28" s="18"/>
      <c r="R28" s="18"/>
      <c r="S28" s="8"/>
      <c r="T28" s="8"/>
      <c r="U28" s="8"/>
      <c r="V28" s="8"/>
      <c r="W28" s="6"/>
      <c r="X28" s="36"/>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c r="C29" s="8"/>
      <c r="D29" s="8"/>
      <c r="E29" s="8"/>
      <c r="F29" s="8"/>
      <c r="G29" s="8"/>
      <c r="H29" s="23"/>
      <c r="I29" s="24"/>
      <c r="J29" s="15"/>
      <c r="K29" s="15"/>
      <c r="L29" s="15"/>
      <c r="M29" s="6"/>
      <c r="N29" s="32" t="s">
        <v>46</v>
      </c>
      <c r="O29" s="12" cm="1">
        <f t="array" ref="O29:R32">MMULT(_xlfn.ANCHORARRAY(O23),I31:L34)</f>
        <v>3.2679489653813835E-7</v>
      </c>
      <c r="P29" s="12">
        <v>6.1232339957364394E-17</v>
      </c>
      <c r="Q29" s="12">
        <v>0.9999999999999466</v>
      </c>
      <c r="R29" s="12">
        <v>199.77007303864997</v>
      </c>
      <c r="S29" s="7"/>
      <c r="T29" s="8"/>
      <c r="U29" s="8"/>
      <c r="V29" s="8"/>
      <c r="W29" s="8"/>
      <c r="X29" s="23"/>
      <c r="Y29" s="24"/>
      <c r="Z29" s="15"/>
      <c r="AA29" s="15"/>
      <c r="AB29" s="15"/>
      <c r="AC29" s="6"/>
      <c r="AD29" s="32" t="s">
        <v>46</v>
      </c>
      <c r="AE29" s="12" cm="1">
        <f t="array" ref="AE29:AH32">MMULT(_xlfn.ANCHORARRAY(AE23),Y31:AB34)</f>
        <v>-9.298038455562074E-5</v>
      </c>
      <c r="AF29" s="12">
        <v>0.99999999567732412</v>
      </c>
      <c r="AG29" s="12">
        <v>-1.2246467991472879E-16</v>
      </c>
      <c r="AH29" s="12">
        <v>199.77410270750565</v>
      </c>
      <c r="AI29" s="7"/>
      <c r="AJ29" s="8"/>
      <c r="AK29" s="8"/>
      <c r="AL29" s="8"/>
      <c r="AM29" s="8"/>
      <c r="AN29" s="8"/>
      <c r="AO29" s="8"/>
      <c r="AP29" s="8"/>
      <c r="AQ29" s="8"/>
      <c r="AR29" s="8"/>
      <c r="AS29" s="8"/>
    </row>
    <row r="30" spans="1:45" ht="16" customHeight="1">
      <c r="A30" s="8"/>
      <c r="B30" s="8"/>
      <c r="C30" s="8"/>
      <c r="D30" s="8"/>
      <c r="E30" s="8"/>
      <c r="F30" s="8"/>
      <c r="G30" s="8"/>
      <c r="H30" s="25"/>
      <c r="I30" s="26"/>
      <c r="J30" s="18"/>
      <c r="K30" s="18"/>
      <c r="L30" s="18"/>
      <c r="M30" s="6"/>
      <c r="N30" s="33"/>
      <c r="O30" s="12">
        <v>-6.1232339957364394E-17</v>
      </c>
      <c r="P30" s="12">
        <v>-1</v>
      </c>
      <c r="Q30" s="12">
        <v>6.1232359967783862E-17</v>
      </c>
      <c r="R30" s="12">
        <v>-2.8871013001522585E-15</v>
      </c>
      <c r="S30" s="7"/>
      <c r="T30" s="8"/>
      <c r="U30" s="8"/>
      <c r="V30" s="8"/>
      <c r="W30" s="8"/>
      <c r="X30" s="25"/>
      <c r="Y30" s="26"/>
      <c r="Z30" s="18"/>
      <c r="AA30" s="18"/>
      <c r="AB30" s="18"/>
      <c r="AC30" s="6"/>
      <c r="AD30" s="33"/>
      <c r="AE30" s="12">
        <v>6.124368648488082E-17</v>
      </c>
      <c r="AF30" s="12">
        <v>-1.2245898598255834E-16</v>
      </c>
      <c r="AG30" s="12">
        <v>-1</v>
      </c>
      <c r="AH30" s="12">
        <v>-2.4483240580960284E-14</v>
      </c>
      <c r="AI30" s="7"/>
      <c r="AJ30" s="8"/>
      <c r="AK30" s="8"/>
      <c r="AL30" s="8"/>
      <c r="AM30" s="8"/>
      <c r="AN30" s="8"/>
      <c r="AO30" s="8"/>
      <c r="AP30" s="8"/>
      <c r="AQ30" s="8"/>
      <c r="AR30" s="8"/>
      <c r="AS30" s="8"/>
    </row>
    <row r="31" spans="1:45" ht="16" customHeight="1">
      <c r="A31" s="8"/>
      <c r="B31" s="8"/>
      <c r="C31" s="8"/>
      <c r="D31" s="8"/>
      <c r="E31" s="8"/>
      <c r="F31" s="8"/>
      <c r="G31" s="6"/>
      <c r="H31" s="35" t="s">
        <v>47</v>
      </c>
      <c r="I31" s="12" cm="1">
        <f t="array" ref="I31">COS(L6)</f>
        <v>1</v>
      </c>
      <c r="J31" s="12" cm="1">
        <f t="array" ref="J31">-SIN(L6)</f>
        <v>0</v>
      </c>
      <c r="K31" s="12">
        <v>0</v>
      </c>
      <c r="L31" s="12" cm="1">
        <f t="array" ref="L31">K6</f>
        <v>43.5</v>
      </c>
      <c r="M31" s="22"/>
      <c r="N31" s="33"/>
      <c r="O31" s="12">
        <v>0.9999999999999466</v>
      </c>
      <c r="P31" s="12">
        <v>-6.1232359967783862E-17</v>
      </c>
      <c r="Q31" s="12">
        <v>-3.2679489653813835E-7</v>
      </c>
      <c r="R31" s="12">
        <v>333.99994236970804</v>
      </c>
      <c r="S31" s="7"/>
      <c r="T31" s="8"/>
      <c r="U31" s="8"/>
      <c r="V31" s="8"/>
      <c r="W31" s="6"/>
      <c r="X31" s="35" t="s">
        <v>47</v>
      </c>
      <c r="Y31" s="12" cm="1">
        <f t="array" ref="Y31">COS(AB6)</f>
        <v>1</v>
      </c>
      <c r="Z31" s="12" cm="1">
        <f t="array" ref="Z31">-SIN(AB6)*COS(Z6)</f>
        <v>0</v>
      </c>
      <c r="AA31" s="12" cm="1">
        <f t="array" ref="AA31">SIN(AB6)*SIN(Z6)</f>
        <v>0</v>
      </c>
      <c r="AB31" s="12" cm="1">
        <f t="array" ref="AB31">AA6*COS(AB6)</f>
        <v>0</v>
      </c>
      <c r="AC31" s="22"/>
      <c r="AD31" s="33"/>
      <c r="AE31" s="12">
        <v>-0.99999999567732412</v>
      </c>
      <c r="AF31" s="12">
        <v>-9.298038455562074E-5</v>
      </c>
      <c r="AG31" s="12">
        <v>-6.1232299936535256E-17</v>
      </c>
      <c r="AH31" s="12">
        <v>333.98360272113763</v>
      </c>
      <c r="AI31" s="7"/>
      <c r="AJ31" s="8"/>
      <c r="AK31" s="8"/>
      <c r="AL31" s="8"/>
      <c r="AM31" s="8"/>
      <c r="AN31" s="8"/>
      <c r="AO31" s="8"/>
      <c r="AP31" s="8"/>
      <c r="AQ31" s="8"/>
      <c r="AR31" s="8"/>
      <c r="AS31" s="8"/>
    </row>
    <row r="32" spans="1:45" ht="16" customHeight="1">
      <c r="A32" s="8"/>
      <c r="B32" s="8"/>
      <c r="C32" s="8"/>
      <c r="D32" s="8"/>
      <c r="E32" s="8"/>
      <c r="F32" s="8"/>
      <c r="G32" s="6"/>
      <c r="H32" s="36"/>
      <c r="I32" s="12" cm="1">
        <f t="array" ref="I32">SIN(L6)*COS(J6)</f>
        <v>0</v>
      </c>
      <c r="J32" s="12" cm="1">
        <f t="array" ref="J32">COS(L6)*COS(J6)</f>
        <v>6.123233995736766E-17</v>
      </c>
      <c r="K32" s="12" cm="1">
        <f t="array" ref="K32">-SIN(J6)</f>
        <v>1</v>
      </c>
      <c r="L32" s="12" cm="1">
        <f t="array" ref="L32">-M6*SIN(J6)</f>
        <v>176.35</v>
      </c>
      <c r="M32" s="22"/>
      <c r="N32" s="34"/>
      <c r="O32" s="12">
        <v>0</v>
      </c>
      <c r="P32" s="12">
        <v>0</v>
      </c>
      <c r="Q32" s="12">
        <v>0</v>
      </c>
      <c r="R32" s="12">
        <v>1</v>
      </c>
      <c r="S32" s="7"/>
      <c r="T32" s="8"/>
      <c r="U32" s="8"/>
      <c r="V32" s="8"/>
      <c r="W32" s="6"/>
      <c r="X32" s="36"/>
      <c r="Y32" s="12" cm="1">
        <f t="array" ref="Y32">SIN(AB6)</f>
        <v>0</v>
      </c>
      <c r="Z32" s="12" cm="1">
        <f t="array" ref="Z32">COS(AB6)*COS(Z6)</f>
        <v>6.123233995736766E-17</v>
      </c>
      <c r="AA32" s="12" cm="1">
        <f t="array" ref="AA32">-COS(AB6)*SIN(Z6)</f>
        <v>1</v>
      </c>
      <c r="AB32" s="12" cm="1">
        <f t="array" ref="AB32">AA6*SIN(AB6)</f>
        <v>0</v>
      </c>
      <c r="AC32" s="22"/>
      <c r="AD32" s="34"/>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6"/>
      <c r="I33" s="12" cm="1">
        <f t="array" ref="I33">SIN(L6)*SIN(J6)</f>
        <v>0</v>
      </c>
      <c r="J33" s="12" cm="1">
        <f t="array" ref="J33">COS(L6)*SIN(J6)</f>
        <v>-1</v>
      </c>
      <c r="K33" s="12" cm="1">
        <f t="array" ref="K33">COS(J6)</f>
        <v>6.123233995736766E-17</v>
      </c>
      <c r="L33" s="12" cm="1">
        <f t="array" ref="L33">M6*COS(J6)</f>
        <v>1.0798323151481786E-14</v>
      </c>
      <c r="M33" s="7"/>
      <c r="N33" s="15"/>
      <c r="O33" s="15"/>
      <c r="P33" s="15"/>
      <c r="Q33" s="15"/>
      <c r="R33" s="15"/>
      <c r="S33" s="8"/>
      <c r="T33" s="8"/>
      <c r="U33" s="8"/>
      <c r="V33" s="8"/>
      <c r="W33" s="6"/>
      <c r="X33" s="36"/>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6"/>
      <c r="I34" s="12">
        <v>0</v>
      </c>
      <c r="J34" s="12">
        <v>0</v>
      </c>
      <c r="K34" s="12">
        <v>0</v>
      </c>
      <c r="L34" s="12">
        <v>1</v>
      </c>
      <c r="M34" s="7"/>
      <c r="N34" s="18"/>
      <c r="O34" s="18"/>
      <c r="P34" s="18"/>
      <c r="Q34" s="18"/>
      <c r="R34" s="18"/>
      <c r="S34" s="8"/>
      <c r="T34" s="8"/>
      <c r="U34" s="8"/>
      <c r="V34" s="8"/>
      <c r="W34" s="6"/>
      <c r="X34" s="36"/>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2" t="s">
        <v>48</v>
      </c>
      <c r="O35" s="12" cm="1">
        <f t="array" ref="O35:R38">MMULT(_xlfn.ANCHORARRAY(O29),I37:L40)</f>
        <v>3.2679489653813835E-7</v>
      </c>
      <c r="P35" s="12">
        <v>0.9999999999999466</v>
      </c>
      <c r="Q35" s="12">
        <v>0</v>
      </c>
      <c r="R35" s="12">
        <v>199.77007303864997</v>
      </c>
      <c r="S35" s="7"/>
      <c r="T35" s="8"/>
      <c r="U35" s="8"/>
      <c r="V35" s="8"/>
      <c r="W35" s="8"/>
      <c r="X35" s="23"/>
      <c r="Y35" s="24"/>
      <c r="Z35" s="15"/>
      <c r="AA35" s="15"/>
      <c r="AB35" s="15"/>
      <c r="AC35" s="6"/>
      <c r="AD35" s="32" t="s">
        <v>48</v>
      </c>
      <c r="AE35" s="12" cm="1">
        <f t="array" ref="AE35:AH38">MMULT(_xlfn.ANCHORARRAY(AE29),Y37:AB40)</f>
        <v>-9.298038455562074E-5</v>
      </c>
      <c r="AF35" s="12">
        <v>-6.1232340222048687E-17</v>
      </c>
      <c r="AG35" s="12">
        <v>-0.99999999567732412</v>
      </c>
      <c r="AH35" s="12">
        <v>199.77410270750565</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3"/>
      <c r="O36" s="12">
        <v>-6.1232339957364394E-17</v>
      </c>
      <c r="P36" s="12">
        <v>2.0010416202073375E-23</v>
      </c>
      <c r="Q36" s="12">
        <v>1</v>
      </c>
      <c r="R36" s="12">
        <v>-2.8871013001522585E-15</v>
      </c>
      <c r="S36" s="7"/>
      <c r="T36" s="8"/>
      <c r="U36" s="8"/>
      <c r="V36" s="8"/>
      <c r="W36" s="8"/>
      <c r="X36" s="25"/>
      <c r="Y36" s="26"/>
      <c r="Z36" s="18"/>
      <c r="AA36" s="18"/>
      <c r="AB36" s="18"/>
      <c r="AC36" s="6"/>
      <c r="AD36" s="33"/>
      <c r="AE36" s="12">
        <v>6.124368648488082E-17</v>
      </c>
      <c r="AF36" s="12">
        <v>-1</v>
      </c>
      <c r="AG36" s="12">
        <v>6.1226646025190676E-17</v>
      </c>
      <c r="AH36" s="12">
        <v>-2.4483240580960284E-14</v>
      </c>
      <c r="AI36" s="7"/>
      <c r="AJ36" s="8"/>
      <c r="AK36" s="8"/>
      <c r="AL36" s="8"/>
      <c r="AM36" s="8"/>
      <c r="AN36" s="8"/>
      <c r="AO36" s="8"/>
      <c r="AP36" s="8"/>
      <c r="AQ36" s="8"/>
      <c r="AR36" s="8"/>
      <c r="AS36" s="8"/>
    </row>
    <row r="37" spans="1:45" ht="16" customHeight="1">
      <c r="A37" s="8"/>
      <c r="B37" s="8"/>
      <c r="C37" s="8"/>
      <c r="D37" s="8"/>
      <c r="E37" s="8"/>
      <c r="F37" s="8"/>
      <c r="G37" s="6"/>
      <c r="H37" s="35" t="s">
        <v>49</v>
      </c>
      <c r="I37" s="12" cm="1">
        <f t="array" ref="I37">COS(L7)</f>
        <v>1</v>
      </c>
      <c r="J37" s="12" cm="1">
        <f t="array" ref="J37">-SIN(L7)</f>
        <v>0</v>
      </c>
      <c r="K37" s="12">
        <v>0</v>
      </c>
      <c r="L37" s="12" cm="1">
        <f t="array" ref="L37">K7</f>
        <v>0</v>
      </c>
      <c r="M37" s="22"/>
      <c r="N37" s="33"/>
      <c r="O37" s="12">
        <v>0.9999999999999466</v>
      </c>
      <c r="P37" s="12">
        <v>-3.2679489653813835E-7</v>
      </c>
      <c r="Q37" s="12">
        <v>6.123233995736766E-17</v>
      </c>
      <c r="R37" s="12">
        <v>333.99994236970804</v>
      </c>
      <c r="S37" s="7"/>
      <c r="T37" s="8"/>
      <c r="U37" s="8"/>
      <c r="V37" s="8"/>
      <c r="W37" s="6"/>
      <c r="X37" s="35" t="s">
        <v>49</v>
      </c>
      <c r="Y37" s="12" cm="1">
        <f t="array" ref="Y37">COS(AB7)</f>
        <v>1</v>
      </c>
      <c r="Z37" s="12" cm="1">
        <f t="array" ref="Z37">-SIN(AB7)*COS(Z7)</f>
        <v>0</v>
      </c>
      <c r="AA37" s="12" cm="1">
        <f t="array" ref="AA37">SIN(AB7)*SIN(Z7)</f>
        <v>0</v>
      </c>
      <c r="AB37" s="12" cm="1">
        <f t="array" ref="AB37">AA7*COS(AB7)</f>
        <v>0</v>
      </c>
      <c r="AC37" s="22"/>
      <c r="AD37" s="33"/>
      <c r="AE37" s="12">
        <v>-0.99999999567732412</v>
      </c>
      <c r="AF37" s="12">
        <v>-6.1237993343051731E-17</v>
      </c>
      <c r="AG37" s="12">
        <v>9.298038455562074E-5</v>
      </c>
      <c r="AH37" s="12">
        <v>333.98360272113763</v>
      </c>
      <c r="AI37" s="7"/>
      <c r="AJ37" s="8"/>
      <c r="AK37" s="8"/>
      <c r="AL37" s="8"/>
      <c r="AM37" s="8"/>
      <c r="AN37" s="8"/>
      <c r="AO37" s="8"/>
      <c r="AP37" s="8"/>
      <c r="AQ37" s="8"/>
      <c r="AR37" s="8"/>
      <c r="AS37" s="8"/>
    </row>
    <row r="38" spans="1:45" ht="16" customHeight="1">
      <c r="A38" s="8"/>
      <c r="B38" s="8"/>
      <c r="C38" s="8"/>
      <c r="D38" s="8"/>
      <c r="E38" s="8"/>
      <c r="F38" s="8"/>
      <c r="G38" s="6"/>
      <c r="H38" s="36"/>
      <c r="I38" s="12" cm="1">
        <f t="array" ref="I38">SIN(L7)*COS(J7)</f>
        <v>0</v>
      </c>
      <c r="J38" s="12" cm="1">
        <f t="array" ref="J38">COS(L7)*COS(J7)</f>
        <v>6.123233995736766E-17</v>
      </c>
      <c r="K38" s="12" cm="1">
        <f t="array" ref="K38">-SIN(J7)</f>
        <v>-1</v>
      </c>
      <c r="L38" s="12" cm="1">
        <f t="array" ref="L38">-M7*SIN(J7)</f>
        <v>0</v>
      </c>
      <c r="M38" s="22"/>
      <c r="N38" s="34"/>
      <c r="O38" s="12">
        <v>0</v>
      </c>
      <c r="P38" s="12">
        <v>0</v>
      </c>
      <c r="Q38" s="12">
        <v>0</v>
      </c>
      <c r="R38" s="12">
        <v>1</v>
      </c>
      <c r="S38" s="7"/>
      <c r="T38" s="8"/>
      <c r="U38" s="8"/>
      <c r="V38" s="8"/>
      <c r="W38" s="6"/>
      <c r="X38" s="36"/>
      <c r="Y38" s="12" cm="1">
        <f t="array" ref="Y38">SIN(AB7)</f>
        <v>0</v>
      </c>
      <c r="Z38" s="12" cm="1">
        <f t="array" ref="Z38">COS(AB7)*COS(Z7)</f>
        <v>6.123233995736766E-17</v>
      </c>
      <c r="AA38" s="12" cm="1">
        <f t="array" ref="AA38">-COS(AB7)*SIN(Z7)</f>
        <v>-1</v>
      </c>
      <c r="AB38" s="12" cm="1">
        <f t="array" ref="AB38">AA7*SIN(AB7)</f>
        <v>0</v>
      </c>
      <c r="AC38" s="22"/>
      <c r="AD38" s="34"/>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6"/>
      <c r="I39" s="12" cm="1">
        <f t="array" ref="I39">SIN(L7)*SIN(J7)</f>
        <v>0</v>
      </c>
      <c r="J39" s="12" cm="1">
        <f t="array" ref="J39">COS(L7)*SIN(J7)</f>
        <v>1</v>
      </c>
      <c r="K39" s="12" cm="1">
        <f t="array" ref="K39">COS(J7)</f>
        <v>6.123233995736766E-17</v>
      </c>
      <c r="L39" s="12" cm="1">
        <f t="array" ref="L39">M7*COS(J7)</f>
        <v>0</v>
      </c>
      <c r="M39" s="7"/>
      <c r="N39" s="15"/>
      <c r="O39" s="15"/>
      <c r="P39" s="15"/>
      <c r="Q39" s="15"/>
      <c r="R39" s="15"/>
      <c r="S39" s="8"/>
      <c r="T39" s="8"/>
      <c r="U39" s="8"/>
      <c r="V39" s="8"/>
      <c r="W39" s="6"/>
      <c r="X39" s="36"/>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6"/>
      <c r="I40" s="12">
        <v>0</v>
      </c>
      <c r="J40" s="12">
        <v>0</v>
      </c>
      <c r="K40" s="12">
        <v>0</v>
      </c>
      <c r="L40" s="12">
        <v>1</v>
      </c>
      <c r="M40" s="7"/>
      <c r="N40" s="18"/>
      <c r="O40" s="18"/>
      <c r="P40" s="18"/>
      <c r="Q40" s="18"/>
      <c r="R40" s="18"/>
      <c r="S40" s="8"/>
      <c r="T40" s="8"/>
      <c r="U40" s="8"/>
      <c r="V40" s="8"/>
      <c r="W40" s="6"/>
      <c r="X40" s="36"/>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2" t="s">
        <v>50</v>
      </c>
      <c r="O41" s="12" cm="1">
        <f t="array" ref="O41:R44">MMULT(_xlfn.ANCHORARRAY(O35),I43:L46)</f>
        <v>3.2679489653813835E-7</v>
      </c>
      <c r="P41" s="12">
        <v>6.1232339957364394E-17</v>
      </c>
      <c r="Q41" s="12">
        <v>0.9999999999999466</v>
      </c>
      <c r="R41" s="12">
        <v>199.77007303864997</v>
      </c>
      <c r="S41" s="7"/>
      <c r="T41" s="8"/>
      <c r="U41" s="8"/>
      <c r="V41" s="8"/>
      <c r="W41" s="8"/>
      <c r="X41" s="23"/>
      <c r="Y41" s="24"/>
      <c r="Z41" s="15"/>
      <c r="AA41" s="15"/>
      <c r="AB41" s="15"/>
      <c r="AC41" s="6"/>
      <c r="AD41" s="32" t="s">
        <v>50</v>
      </c>
      <c r="AE41" s="12" cm="1">
        <f t="array" ref="AE41:AH44">MMULT(_xlfn.ANCHORARRAY(AE35),Y43:AB46)</f>
        <v>9.2980384156516962E-5</v>
      </c>
      <c r="AF41" s="12">
        <v>-8.6149665807880874E-9</v>
      </c>
      <c r="AG41" s="12">
        <v>0.99999999567732412</v>
      </c>
      <c r="AH41" s="12">
        <v>299.77410227523808</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3"/>
      <c r="O42" s="12">
        <v>-6.1232339957364394E-17</v>
      </c>
      <c r="P42" s="12">
        <v>-1</v>
      </c>
      <c r="Q42" s="12">
        <v>6.1232359967783862E-17</v>
      </c>
      <c r="R42" s="12">
        <v>-2.8871013001522585E-15</v>
      </c>
      <c r="S42" s="7"/>
      <c r="T42" s="8"/>
      <c r="U42" s="8"/>
      <c r="V42" s="8"/>
      <c r="W42" s="8"/>
      <c r="X42" s="25"/>
      <c r="Y42" s="26"/>
      <c r="Z42" s="18"/>
      <c r="AA42" s="18"/>
      <c r="AB42" s="18"/>
      <c r="AC42" s="6"/>
      <c r="AD42" s="33"/>
      <c r="AE42" s="12">
        <v>-9.2653589660551502E-5</v>
      </c>
      <c r="AF42" s="12">
        <v>-0.99999999570765619</v>
      </c>
      <c r="AG42" s="12">
        <v>-1.8369132541426546E-16</v>
      </c>
      <c r="AH42" s="12">
        <v>-3.0605905183479354E-14</v>
      </c>
      <c r="AI42" s="7"/>
      <c r="AJ42" s="8"/>
      <c r="AK42" s="8"/>
      <c r="AL42" s="8"/>
      <c r="AM42" s="8"/>
      <c r="AN42" s="8"/>
      <c r="AO42" s="8"/>
      <c r="AP42" s="8"/>
      <c r="AQ42" s="8"/>
      <c r="AR42" s="8"/>
      <c r="AS42" s="8"/>
    </row>
    <row r="43" spans="1:45" ht="16" customHeight="1">
      <c r="A43" s="8"/>
      <c r="B43" s="8"/>
      <c r="C43" s="8"/>
      <c r="D43" s="8"/>
      <c r="E43" s="8"/>
      <c r="F43" s="8"/>
      <c r="G43" s="6"/>
      <c r="H43" s="35" t="s">
        <v>51</v>
      </c>
      <c r="I43" s="12" cm="1">
        <f t="array" ref="I43">COS(L8)</f>
        <v>1</v>
      </c>
      <c r="J43" s="12" cm="1">
        <f t="array" ref="J43">-SIN(L8)</f>
        <v>0</v>
      </c>
      <c r="K43" s="12">
        <v>0</v>
      </c>
      <c r="L43" s="12" cm="1">
        <f t="array" ref="L43">K8</f>
        <v>0</v>
      </c>
      <c r="M43" s="22"/>
      <c r="N43" s="33"/>
      <c r="O43" s="12">
        <v>0.9999999999999466</v>
      </c>
      <c r="P43" s="12">
        <v>-6.1232359967783862E-17</v>
      </c>
      <c r="Q43" s="12">
        <v>-3.2679489653813835E-7</v>
      </c>
      <c r="R43" s="12">
        <v>333.99994236970804</v>
      </c>
      <c r="S43" s="7"/>
      <c r="T43" s="8"/>
      <c r="U43" s="8"/>
      <c r="V43" s="8"/>
      <c r="W43" s="6"/>
      <c r="X43" s="35" t="s">
        <v>51</v>
      </c>
      <c r="Y43" s="12" cm="1">
        <f t="array" ref="Y43">COS(AB8)</f>
        <v>-0.99999999570765619</v>
      </c>
      <c r="Z43" s="12" cm="1">
        <f t="array" ref="Z43">-SIN(AB8)*COS(Z8)</f>
        <v>9.2653589660490258E-5</v>
      </c>
      <c r="AA43" s="12" cm="1">
        <f t="array" ref="AA43">SIN(AB8)*SIN(Z8)</f>
        <v>1.134679220072317E-20</v>
      </c>
      <c r="AB43" s="12" cm="1">
        <f t="array" ref="AB43">AA8*COS(AB8)</f>
        <v>0</v>
      </c>
      <c r="AC43" s="22"/>
      <c r="AD43" s="33"/>
      <c r="AE43" s="12">
        <v>0.9999999913849803</v>
      </c>
      <c r="AF43" s="12">
        <v>-9.265358926004005E-5</v>
      </c>
      <c r="AG43" s="12">
        <v>-9.2980384555620753E-5</v>
      </c>
      <c r="AH43" s="12">
        <v>333.97430468268209</v>
      </c>
      <c r="AI43" s="7"/>
      <c r="AJ43" s="8"/>
      <c r="AK43" s="8"/>
      <c r="AL43" s="8"/>
      <c r="AM43" s="8"/>
      <c r="AN43" s="8"/>
      <c r="AO43" s="8"/>
      <c r="AP43" s="8"/>
      <c r="AQ43" s="8"/>
      <c r="AR43" s="8"/>
      <c r="AS43" s="8"/>
    </row>
    <row r="44" spans="1:45" ht="16" customHeight="1">
      <c r="A44" s="8"/>
      <c r="B44" s="8"/>
      <c r="C44" s="8"/>
      <c r="D44" s="8"/>
      <c r="E44" s="8"/>
      <c r="F44" s="8"/>
      <c r="G44" s="6"/>
      <c r="H44" s="36"/>
      <c r="I44" s="12" cm="1">
        <f t="array" ref="I44">SIN(L8)*COS(J8)</f>
        <v>0</v>
      </c>
      <c r="J44" s="12" cm="1">
        <f t="array" ref="J44">COS(L8)*COS(J8)</f>
        <v>6.123233995736766E-17</v>
      </c>
      <c r="K44" s="12" cm="1">
        <f t="array" ref="K44">-SIN(J8)</f>
        <v>1</v>
      </c>
      <c r="L44" s="12" cm="1">
        <f t="array" ref="L44">-M8*SIN(J8)</f>
        <v>0</v>
      </c>
      <c r="M44" s="22"/>
      <c r="N44" s="34"/>
      <c r="O44" s="12">
        <v>0</v>
      </c>
      <c r="P44" s="12">
        <v>0</v>
      </c>
      <c r="Q44" s="12">
        <v>0</v>
      </c>
      <c r="R44" s="12">
        <v>1</v>
      </c>
      <c r="S44" s="7"/>
      <c r="T44" s="8"/>
      <c r="U44" s="8"/>
      <c r="V44" s="8"/>
      <c r="W44" s="6"/>
      <c r="X44" s="36"/>
      <c r="Y44" s="12" cm="1">
        <f t="array" ref="Y44">SIN(AB8)</f>
        <v>9.2653589660490258E-5</v>
      </c>
      <c r="Z44" s="12" cm="1">
        <f t="array" ref="Z44">COS(AB8)*COS(Z8)</f>
        <v>0.99999999570765619</v>
      </c>
      <c r="AA44" s="12" cm="1">
        <f t="array" ref="AA44">-COS(AB8)*SIN(Z8)</f>
        <v>1.224646793890748E-16</v>
      </c>
      <c r="AB44" s="12" cm="1">
        <f t="array" ref="AB44">AA8*SIN(AB8)</f>
        <v>0</v>
      </c>
      <c r="AC44" s="22"/>
      <c r="AD44" s="34"/>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6"/>
      <c r="I45" s="12" cm="1">
        <f t="array" ref="I45">SIN(L8)*SIN(J8)</f>
        <v>0</v>
      </c>
      <c r="J45" s="12" cm="1">
        <f t="array" ref="J45">COS(L8)*SIN(J8)</f>
        <v>-1</v>
      </c>
      <c r="K45" s="12" cm="1">
        <f t="array" ref="K45">COS(J8)</f>
        <v>6.123233995736766E-17</v>
      </c>
      <c r="L45" s="12" cm="1">
        <f t="array" ref="L45">M8*COS(J8)</f>
        <v>0</v>
      </c>
      <c r="M45" s="7"/>
      <c r="N45" s="15"/>
      <c r="O45" s="15"/>
      <c r="P45" s="15"/>
      <c r="Q45" s="15"/>
      <c r="R45" s="15"/>
      <c r="S45" s="8"/>
      <c r="T45" s="8"/>
      <c r="U45" s="8"/>
      <c r="V45" s="8"/>
      <c r="W45" s="6"/>
      <c r="X45" s="36"/>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37"/>
      <c r="C46" s="37"/>
      <c r="D46" s="37"/>
      <c r="E46" s="37"/>
      <c r="F46" s="8"/>
      <c r="G46" s="6"/>
      <c r="H46" s="36"/>
      <c r="I46" s="12">
        <v>0</v>
      </c>
      <c r="J46" s="12">
        <v>0</v>
      </c>
      <c r="K46" s="12">
        <v>0</v>
      </c>
      <c r="L46" s="12">
        <v>1</v>
      </c>
      <c r="M46" s="7"/>
      <c r="N46" s="18"/>
      <c r="O46" s="18"/>
      <c r="P46" s="18"/>
      <c r="Q46" s="18"/>
      <c r="R46" s="18"/>
      <c r="S46" s="8"/>
      <c r="T46" s="8"/>
      <c r="U46" s="8"/>
      <c r="V46" s="8"/>
      <c r="W46" s="6"/>
      <c r="X46" s="36"/>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37"/>
      <c r="C47" s="37"/>
      <c r="D47" s="37"/>
      <c r="E47" s="37"/>
      <c r="F47" s="8"/>
      <c r="G47" s="8"/>
      <c r="H47" s="23"/>
      <c r="I47" s="24"/>
      <c r="J47" s="15"/>
      <c r="K47" s="15"/>
      <c r="L47" s="15"/>
      <c r="M47" s="6"/>
      <c r="N47" s="32" t="s">
        <v>52</v>
      </c>
      <c r="O47" s="12" cm="1">
        <f t="array" ref="O47:R50">MMULT(_xlfn.ANCHORARRAY(O41),I49:L52)</f>
        <v>-6.1232319946948192E-17</v>
      </c>
      <c r="P47" s="12">
        <v>3.2679489653813835E-7</v>
      </c>
      <c r="Q47" s="12">
        <v>0.9999999999999466</v>
      </c>
      <c r="R47" s="12">
        <v>299.77007303864463</v>
      </c>
      <c r="S47" s="7"/>
      <c r="T47" s="8"/>
      <c r="U47" s="8"/>
      <c r="V47" s="8"/>
      <c r="W47" s="8"/>
      <c r="X47" s="23"/>
      <c r="Y47" s="24"/>
      <c r="Z47" s="15"/>
      <c r="AA47" s="15"/>
      <c r="AB47" s="15"/>
      <c r="AC47" s="8"/>
      <c r="AD47" s="38"/>
      <c r="AE47" s="8"/>
      <c r="AF47" s="8"/>
      <c r="AG47" s="8"/>
      <c r="AH47" s="8"/>
      <c r="AI47" s="8"/>
      <c r="AJ47" s="8"/>
      <c r="AK47" s="8"/>
      <c r="AL47" s="8"/>
      <c r="AM47" s="8"/>
      <c r="AN47" s="8"/>
      <c r="AO47" s="8"/>
      <c r="AP47" s="8"/>
      <c r="AQ47" s="8"/>
      <c r="AR47" s="8"/>
      <c r="AS47" s="8"/>
    </row>
    <row r="48" spans="1:45" ht="16" customHeight="1">
      <c r="A48" s="8"/>
      <c r="B48" s="37"/>
      <c r="C48" s="37"/>
      <c r="D48" s="37"/>
      <c r="E48" s="37"/>
      <c r="F48" s="8"/>
      <c r="G48" s="8"/>
      <c r="H48" s="25"/>
      <c r="I48" s="26"/>
      <c r="J48" s="18"/>
      <c r="K48" s="18"/>
      <c r="L48" s="18"/>
      <c r="M48" s="6"/>
      <c r="N48" s="33"/>
      <c r="O48" s="12">
        <v>1</v>
      </c>
      <c r="P48" s="12">
        <v>-1.2246467991473204E-16</v>
      </c>
      <c r="Q48" s="12">
        <v>6.1232359967783862E-17</v>
      </c>
      <c r="R48" s="12">
        <v>3.2361346966261278E-15</v>
      </c>
      <c r="S48" s="7"/>
      <c r="T48" s="8"/>
      <c r="U48" s="8"/>
      <c r="V48" s="8"/>
      <c r="W48" s="8"/>
      <c r="X48" s="29"/>
      <c r="Y48" s="8"/>
      <c r="Z48" s="8"/>
      <c r="AA48" s="8"/>
      <c r="AB48" s="8"/>
      <c r="AC48" s="8"/>
      <c r="AD48" s="38"/>
      <c r="AE48" s="8"/>
      <c r="AF48" s="8"/>
      <c r="AG48" s="8"/>
      <c r="AH48" s="8"/>
      <c r="AI48" s="8"/>
      <c r="AJ48" s="8"/>
      <c r="AK48" s="8"/>
      <c r="AL48" s="8"/>
      <c r="AM48" s="8"/>
      <c r="AN48" s="8"/>
      <c r="AO48" s="8"/>
      <c r="AP48" s="8"/>
      <c r="AQ48" s="8"/>
      <c r="AR48" s="8"/>
      <c r="AS48" s="8"/>
    </row>
    <row r="49" spans="1:45" ht="16" customHeight="1">
      <c r="A49" s="8"/>
      <c r="B49" s="37"/>
      <c r="C49" s="37"/>
      <c r="D49" s="37"/>
      <c r="E49" s="37"/>
      <c r="F49" s="8"/>
      <c r="G49" s="6"/>
      <c r="H49" s="35" t="s">
        <v>53</v>
      </c>
      <c r="I49" s="12" cm="1">
        <f t="array" ref="I49">COS(L9)</f>
        <v>6.123233995736766E-17</v>
      </c>
      <c r="J49" s="12" cm="1">
        <f t="array" ref="J49">-SIN(L9)</f>
        <v>1</v>
      </c>
      <c r="K49" s="12">
        <v>0</v>
      </c>
      <c r="L49" s="12" cm="1">
        <f t="array" ref="L49">K9</f>
        <v>0</v>
      </c>
      <c r="M49" s="22"/>
      <c r="N49" s="33"/>
      <c r="O49" s="12">
        <v>1.2246469992514826E-16</v>
      </c>
      <c r="P49" s="12">
        <v>0.9999999999999466</v>
      </c>
      <c r="Q49" s="12">
        <v>-3.2679489653813835E-7</v>
      </c>
      <c r="R49" s="12">
        <v>333.99990969021837</v>
      </c>
      <c r="S49" s="7"/>
      <c r="T49" s="8"/>
      <c r="U49" s="8"/>
      <c r="V49" s="8"/>
      <c r="W49" s="8"/>
      <c r="X49" s="38"/>
      <c r="Y49" s="8"/>
      <c r="Z49" s="8"/>
      <c r="AA49" s="8"/>
      <c r="AB49" s="8"/>
      <c r="AC49" s="8"/>
      <c r="AD49" s="38"/>
      <c r="AE49" s="8"/>
      <c r="AF49" s="8"/>
      <c r="AG49" s="8"/>
      <c r="AH49" s="8"/>
      <c r="AI49" s="8"/>
      <c r="AJ49" s="8"/>
      <c r="AK49" s="8"/>
      <c r="AL49" s="8"/>
      <c r="AM49" s="8"/>
      <c r="AN49" s="8"/>
      <c r="AO49" s="8"/>
      <c r="AP49" s="8"/>
      <c r="AQ49" s="8"/>
      <c r="AR49" s="8"/>
      <c r="AS49" s="8"/>
    </row>
    <row r="50" spans="1:45" ht="16" customHeight="1">
      <c r="A50" s="8"/>
      <c r="B50" s="37"/>
      <c r="C50" s="37"/>
      <c r="D50" s="37"/>
      <c r="E50" s="37"/>
      <c r="F50" s="8"/>
      <c r="G50" s="6"/>
      <c r="H50" s="36"/>
      <c r="I50" s="12" cm="1">
        <f t="array" ref="I50">SIN(L9)*COS(J9)</f>
        <v>-1</v>
      </c>
      <c r="J50" s="12" cm="1">
        <f t="array" ref="J50">COS(L9)*COS(J9)</f>
        <v>6.123233995736766E-17</v>
      </c>
      <c r="K50" s="12" cm="1">
        <f t="array" ref="K50">-SIN(J9)</f>
        <v>0</v>
      </c>
      <c r="L50" s="12" cm="1">
        <f t="array" ref="L50">-M9*SIN(J9)</f>
        <v>0</v>
      </c>
      <c r="M50" s="22"/>
      <c r="N50" s="34"/>
      <c r="O50" s="12">
        <v>0</v>
      </c>
      <c r="P50" s="12">
        <v>0</v>
      </c>
      <c r="Q50" s="12">
        <v>0</v>
      </c>
      <c r="R50" s="12">
        <v>1</v>
      </c>
      <c r="S50" s="7"/>
      <c r="T50" s="8"/>
      <c r="U50" s="8"/>
      <c r="V50" s="8"/>
      <c r="W50" s="8"/>
      <c r="X50" s="38"/>
      <c r="Y50" s="8"/>
      <c r="Z50" s="8"/>
      <c r="AA50" s="8"/>
      <c r="AB50" s="8"/>
      <c r="AC50" s="8"/>
      <c r="AD50" s="38"/>
      <c r="AE50" s="8"/>
      <c r="AF50" s="8"/>
      <c r="AG50" s="8"/>
      <c r="AH50" s="8"/>
      <c r="AI50" s="8"/>
      <c r="AJ50" s="8"/>
      <c r="AK50" s="8"/>
      <c r="AL50" s="8"/>
      <c r="AM50" s="8"/>
      <c r="AN50" s="8"/>
      <c r="AO50" s="8"/>
      <c r="AP50" s="8"/>
      <c r="AQ50" s="8"/>
      <c r="AR50" s="8"/>
      <c r="AS50" s="8"/>
    </row>
    <row r="51" spans="1:45" ht="16" customHeight="1">
      <c r="A51" s="8"/>
      <c r="B51" s="37"/>
      <c r="C51" s="37"/>
      <c r="D51" s="37"/>
      <c r="E51" s="37"/>
      <c r="F51" s="8"/>
      <c r="G51" s="6"/>
      <c r="H51" s="36"/>
      <c r="I51" s="12" cm="1">
        <f t="array" ref="I51">SIN(L9)*SIN(J9)</f>
        <v>0</v>
      </c>
      <c r="J51" s="12" cm="1">
        <f t="array" ref="J51">COS(L9)*SIN(J9)</f>
        <v>0</v>
      </c>
      <c r="K51" s="12" cm="1">
        <f t="array" ref="K51">COS(J9)</f>
        <v>1</v>
      </c>
      <c r="L51" s="12" cm="1">
        <f t="array" ref="L51">M9*COS(J9)</f>
        <v>100</v>
      </c>
      <c r="M51" s="7"/>
      <c r="N51" s="15"/>
      <c r="O51" s="15"/>
      <c r="P51" s="15"/>
      <c r="Q51" s="15"/>
      <c r="R51" s="15"/>
      <c r="S51" s="8"/>
      <c r="T51" s="8"/>
      <c r="U51" s="8"/>
      <c r="V51" s="8"/>
      <c r="W51" s="8"/>
      <c r="X51" s="38"/>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37"/>
      <c r="C52" s="37"/>
      <c r="D52" s="37"/>
      <c r="E52" s="37"/>
      <c r="F52" s="8"/>
      <c r="G52" s="6"/>
      <c r="H52" s="36"/>
      <c r="I52" s="12">
        <v>0</v>
      </c>
      <c r="J52" s="12">
        <v>0</v>
      </c>
      <c r="K52" s="12">
        <v>0</v>
      </c>
      <c r="L52" s="12">
        <v>1</v>
      </c>
      <c r="M52" s="7"/>
      <c r="N52" s="8"/>
      <c r="O52" s="8"/>
      <c r="P52" s="8"/>
      <c r="Q52" s="8"/>
      <c r="R52" s="8"/>
      <c r="S52" s="8"/>
      <c r="T52" s="8"/>
      <c r="U52" s="8"/>
      <c r="V52" s="8"/>
      <c r="W52" s="8"/>
      <c r="X52" s="38"/>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37"/>
      <c r="C53" s="37"/>
      <c r="D53" s="37"/>
      <c r="E53" s="37"/>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37"/>
      <c r="C54" s="37"/>
      <c r="D54" s="37"/>
      <c r="E54" s="3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B1:F1"/>
    <mergeCell ref="I1:M1"/>
    <mergeCell ref="Y1:AC1"/>
    <mergeCell ref="H25:H28"/>
    <mergeCell ref="H19:H22"/>
    <mergeCell ref="N47:N50"/>
    <mergeCell ref="N41:N44"/>
    <mergeCell ref="N35:N38"/>
    <mergeCell ref="N29:N32"/>
    <mergeCell ref="N23:N26"/>
    <mergeCell ref="N16:N19"/>
    <mergeCell ref="H37:H40"/>
    <mergeCell ref="H49:H52"/>
    <mergeCell ref="H43:H46"/>
    <mergeCell ref="H31:H34"/>
    <mergeCell ref="H13:H16"/>
    <mergeCell ref="A12:A18"/>
    <mergeCell ref="A21:A26"/>
    <mergeCell ref="B46:E54"/>
    <mergeCell ref="X49:X52"/>
    <mergeCell ref="AD16:AD19"/>
    <mergeCell ref="AD23:AD26"/>
    <mergeCell ref="AD29:AD32"/>
    <mergeCell ref="AD35:AD38"/>
    <mergeCell ref="AD41:AD44"/>
    <mergeCell ref="AD47:AD50"/>
    <mergeCell ref="X13:X16"/>
    <mergeCell ref="X19:X22"/>
    <mergeCell ref="X25:X28"/>
    <mergeCell ref="X31:X34"/>
    <mergeCell ref="X37:X40"/>
    <mergeCell ref="X43:X46"/>
  </mergeCells>
  <pageMargins left="0.7" right="0.7" top="0.75" bottom="0.75" header="0.3" footer="0.3"/>
  <pageSetup orientation="portrait"/>
  <headerFooter>
    <oddFooter>&amp;C&amp;"Helvetica Neue,Regular"&amp;12&amp;K000000&amp;P</oddFooter>
  </headerFooter>
  <drawing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Banday, Fuzail Hamid (FT RPD CED INW-DE)</cp:lastModifiedBy>
  <dcterms:created xsi:type="dcterms:W3CDTF">2026-05-31T12:04:42Z</dcterms:created>
  <dcterms:modified xsi:type="dcterms:W3CDTF">2026-06-01T08:56:32Z</dcterms:modified>
</cp:coreProperties>
</file>